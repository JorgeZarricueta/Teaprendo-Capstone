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ción" sheetId="1" r:id="rId4"/>
    <sheet state="visible" name="Iteraciones" sheetId="2" r:id="rId5"/>
    <sheet state="visible" name="Requerimientos" sheetId="3" r:id="rId6"/>
    <sheet state="visible" name="Gantt detallado" sheetId="4" r:id="rId7"/>
    <sheet state="visible" name="Config" sheetId="5" r:id="rId8"/>
  </sheets>
  <definedNames/>
  <calcPr/>
  <extLst>
    <ext uri="GoogleSheetsCustomDataVersion2">
      <go:sheetsCustomData xmlns:go="http://customooxmlschemas.google.com/" r:id="rId9" roundtripDataChecksum="c68zlfzgKbGSCTgAHD77ArmQv1jEKuFNYL4hS1dSeIg="/>
    </ext>
  </extLst>
</workbook>
</file>

<file path=xl/sharedStrings.xml><?xml version="1.0" encoding="utf-8"?>
<sst xmlns="http://schemas.openxmlformats.org/spreadsheetml/2006/main" count="637" uniqueCount="426">
  <si>
    <t>R-N°</t>
  </si>
  <si>
    <t>Parámetro</t>
  </si>
  <si>
    <t>Nombre del requerimiento</t>
  </si>
  <si>
    <t>ID</t>
  </si>
  <si>
    <t>Iteración</t>
  </si>
  <si>
    <t>Valor</t>
  </si>
  <si>
    <t>Tipo</t>
  </si>
  <si>
    <t>Actor relacionado</t>
  </si>
  <si>
    <t>Nombre</t>
  </si>
  <si>
    <t>S. inicio</t>
  </si>
  <si>
    <t>S. fin</t>
  </si>
  <si>
    <t>Módulo</t>
  </si>
  <si>
    <t>Semana inicio</t>
  </si>
  <si>
    <t>Vista / pantalla</t>
  </si>
  <si>
    <t>Tarea / subactividad</t>
  </si>
  <si>
    <t>Semana fin</t>
  </si>
  <si>
    <t>Botones / acciones</t>
  </si>
  <si>
    <t>Inicio</t>
  </si>
  <si>
    <t>Objetivo/entregable</t>
  </si>
  <si>
    <t>Estados</t>
  </si>
  <si>
    <t>Endpoint(s) esperado(s)</t>
  </si>
  <si>
    <t>Fin</t>
  </si>
  <si>
    <t>Responsable</t>
  </si>
  <si>
    <t>Objeto(s) BD</t>
  </si>
  <si>
    <t>Criterio de aceptación</t>
  </si>
  <si>
    <t>Estado planificado</t>
  </si>
  <si>
    <t>Entregable</t>
  </si>
  <si>
    <t>Semana actual</t>
  </si>
  <si>
    <t>% planificado</t>
  </si>
  <si>
    <t>S1</t>
  </si>
  <si>
    <t>Estado real</t>
  </si>
  <si>
    <t>% real</t>
  </si>
  <si>
    <t>Evidencia / link</t>
  </si>
  <si>
    <t>R.1</t>
  </si>
  <si>
    <t>I0</t>
  </si>
  <si>
    <t>S2</t>
  </si>
  <si>
    <t>S3</t>
  </si>
  <si>
    <t>S4</t>
  </si>
  <si>
    <t>Definición y diseño</t>
  </si>
  <si>
    <t>S5</t>
  </si>
  <si>
    <t>S6</t>
  </si>
  <si>
    <t>Registro de usuarios</t>
  </si>
  <si>
    <t>S7</t>
  </si>
  <si>
    <t>Funcional</t>
  </si>
  <si>
    <t>Alcance, requisitos, casos de uso, arquitectura, modelo de datos y prototipos</t>
  </si>
  <si>
    <t>S8</t>
  </si>
  <si>
    <t>Administrador</t>
  </si>
  <si>
    <t>Equipo</t>
  </si>
  <si>
    <t>I1</t>
  </si>
  <si>
    <t>No iniciado</t>
  </si>
  <si>
    <t>S9</t>
  </si>
  <si>
    <t>Administrador &gt; Usuarios / Formulario usuario</t>
  </si>
  <si>
    <t>S10</t>
  </si>
  <si>
    <t>Nuevo usuario; Guardar; Cancelar; Editar; Desactivar</t>
  </si>
  <si>
    <t>Proyecto</t>
  </si>
  <si>
    <t>POST /usuarios; GET /usuarios; PUT /usuarios/:id</t>
  </si>
  <si>
    <t>TEAprendo</t>
  </si>
  <si>
    <t>usuario, rol, usuario_rol</t>
  </si>
  <si>
    <t>En desarrollo</t>
  </si>
  <si>
    <t>Crear usuarios con datos mínimos, rol y estado; validar correo único.</t>
  </si>
  <si>
    <t>En pruebas</t>
  </si>
  <si>
    <t>Terminado</t>
  </si>
  <si>
    <t>S11</t>
  </si>
  <si>
    <t>Bloqueado</t>
  </si>
  <si>
    <t>S12</t>
  </si>
  <si>
    <t>S13</t>
  </si>
  <si>
    <t>S14</t>
  </si>
  <si>
    <t>S15</t>
  </si>
  <si>
    <t>S16</t>
  </si>
  <si>
    <t>Estado avance</t>
  </si>
  <si>
    <t>% avance real</t>
  </si>
  <si>
    <t>T01</t>
  </si>
  <si>
    <t>Planificación</t>
  </si>
  <si>
    <t>Definir alcance, MVP y exclusiones</t>
  </si>
  <si>
    <t>Documento de alcance aprobado</t>
  </si>
  <si>
    <t>R.2</t>
  </si>
  <si>
    <t>Inicio de sesión</t>
  </si>
  <si>
    <t>Todos</t>
  </si>
  <si>
    <t>Login</t>
  </si>
  <si>
    <t>Iniciar sesión; Recuperar contraseña (si se incluye)</t>
  </si>
  <si>
    <t>POST /auth/login; POST /auth/refresh</t>
  </si>
  <si>
    <t>usuario, sesion/token</t>
  </si>
  <si>
    <t>Credenciales válidas permiten acceso; inválidas muestran mensaje y no generan sesión.</t>
  </si>
  <si>
    <t>Base técnica y autenticación</t>
  </si>
  <si>
    <t>PostgreSQL base, backend, usuarios, login y roles</t>
  </si>
  <si>
    <t>Daniel / Jorge</t>
  </si>
  <si>
    <t>R.3</t>
  </si>
  <si>
    <t>Gestión de roles</t>
  </si>
  <si>
    <t>Administrador &gt; Roles / Menú por rol</t>
  </si>
  <si>
    <t>Asignar rol; Cambiar rol</t>
  </si>
  <si>
    <t>GET /roles; PUT /usuarios/:id/rol</t>
  </si>
  <si>
    <t>rol, usuario_rol</t>
  </si>
  <si>
    <t>Cada rol ve solo módulos autorizados; cambios se reflejan al iniciar nueva sesión.</t>
  </si>
  <si>
    <t>R.4</t>
  </si>
  <si>
    <t>Gestión de estudiantes</t>
  </si>
  <si>
    <t>I2</t>
  </si>
  <si>
    <t>Administrador &gt; Estudiantes / Lista / Detalle / Formulario</t>
  </si>
  <si>
    <t>Nuevo; Ver; Editar; Eliminar/Desactivar; Guardar</t>
  </si>
  <si>
    <t>POST /estudiantes; GET /estudiantes; GET /estudiantes/:id; PUT /estudiantes/:id</t>
  </si>
  <si>
    <t>estudiante</t>
  </si>
  <si>
    <t>Registrar, consultar y actualizar estudiantes con validaciones obligatorias.</t>
  </si>
  <si>
    <t>Estudiantes y cursos</t>
  </si>
  <si>
    <t>CRUD de estudiantes, cursos, perfil y relaciones</t>
  </si>
  <si>
    <t>Jorge / Daniel</t>
  </si>
  <si>
    <t>R.5</t>
  </si>
  <si>
    <t>Gestión de cursos</t>
  </si>
  <si>
    <t>Administrador &gt; Cursos / Detalle curso</t>
  </si>
  <si>
    <t>Crear curso; Editar; Asignar estudiante; Quitar estudiante</t>
  </si>
  <si>
    <t>POST /cursos; GET /cursos; PUT /cursos/:id; POST /cursos/:id/estudiantes</t>
  </si>
  <si>
    <t>curso, curso_estudiante</t>
  </si>
  <si>
    <t>Crear cursos y administrar estudiantes asociados sin duplicados.</t>
  </si>
  <si>
    <t>R.6</t>
  </si>
  <si>
    <t>Consulta de perfil del estudiante</t>
  </si>
  <si>
    <t>Docente, Apoderado</t>
  </si>
  <si>
    <t>Perfil estudiante</t>
  </si>
  <si>
    <t>Ver historial; Ver curso; Ver responsables</t>
  </si>
  <si>
    <t>GET /estudiantes/:id/perfil</t>
  </si>
  <si>
    <t>estudiante, curso_estudiante, relaciones_responsables</t>
  </si>
  <si>
    <t>Solo usuarios autorizados consultan información permitida del estudiante.</t>
  </si>
  <si>
    <t>I3</t>
  </si>
  <si>
    <t>Agenda y notificaciones</t>
  </si>
  <si>
    <t>Agenda, solicitud/gestión de citas y notificaciones</t>
  </si>
  <si>
    <t>Jorge / Gloria</t>
  </si>
  <si>
    <t>R.7</t>
  </si>
  <si>
    <t>Agenda de actividades</t>
  </si>
  <si>
    <t>Agenda / Calendario</t>
  </si>
  <si>
    <t>Mes anterior; Mes siguiente; Ver actividad; Nueva actividad (según rol)</t>
  </si>
  <si>
    <t>GET /agenda; POST /actividades</t>
  </si>
  <si>
    <t>actividad, agenda</t>
  </si>
  <si>
    <t>Visualizar calendario por usuario/estudiante y detalle de actividades.</t>
  </si>
  <si>
    <t>R.8</t>
  </si>
  <si>
    <t>Solicitud de citas</t>
  </si>
  <si>
    <t>Apoderado</t>
  </si>
  <si>
    <t>Agenda &gt; Solicitar cita</t>
  </si>
  <si>
    <t>Solicitar; Enviar; Cancelar</t>
  </si>
  <si>
    <t>POST /citas; GET /citas/mias; PUT /citas/:id/estado</t>
  </si>
  <si>
    <t>cita</t>
  </si>
  <si>
    <t>Solicitar cita con fecha, hora, profesional y motivo; controlar estados.</t>
  </si>
  <si>
    <t>I4</t>
  </si>
  <si>
    <t>Seguimiento conductual</t>
  </si>
  <si>
    <t>Observaciones, estrategias, resultados e historial</t>
  </si>
  <si>
    <t>R.9</t>
  </si>
  <si>
    <t>Gestión de notificaciones</t>
  </si>
  <si>
    <t>Administrador &gt; Notificaciones</t>
  </si>
  <si>
    <t>Nueva; Enviar; Editar; Cancelar</t>
  </si>
  <si>
    <t>POST /notificaciones; GET /notificaciones; PUT /notificaciones/:id</t>
  </si>
  <si>
    <t>notificacion, destinatario_notificacion</t>
  </si>
  <si>
    <t>Crear notificaciones y seleccionar destinatarios válidos.</t>
  </si>
  <si>
    <t>R.10</t>
  </si>
  <si>
    <t>Consulta de notificaciones</t>
  </si>
  <si>
    <t>Bandeja / Notificaciones</t>
  </si>
  <si>
    <t>Ver; Marcar como leída</t>
  </si>
  <si>
    <t>GET /notificaciones/mias; PUT /notificaciones/:id/leida</t>
  </si>
  <si>
    <t>Cada usuario visualiza solo sus notificaciones y estado de lectura.</t>
  </si>
  <si>
    <t>I5</t>
  </si>
  <si>
    <t>Dashboard y análisis</t>
  </si>
  <si>
    <t>Indicadores, consultas analíticas y detección de patrones</t>
  </si>
  <si>
    <t>Daniel / Gloria</t>
  </si>
  <si>
    <t>T02</t>
  </si>
  <si>
    <t>Requerimientos</t>
  </si>
  <si>
    <t>Levantar y clasificar RF/RNF</t>
  </si>
  <si>
    <t>R.11</t>
  </si>
  <si>
    <t>Registro de observaciones conductuales</t>
  </si>
  <si>
    <t>Matriz de requerimientos</t>
  </si>
  <si>
    <t>Docente / Profesional</t>
  </si>
  <si>
    <t>Estudiante &gt; Seguimiento &gt; Nueva observación</t>
  </si>
  <si>
    <t>Guardar; Cancelar; Agregar estrategia</t>
  </si>
  <si>
    <t>POST /estudiantes/:id/observaciones; GET /estudiantes/:id/observaciones</t>
  </si>
  <si>
    <t>observacion_conductual, contexto</t>
  </si>
  <si>
    <t>Registrar fecha, contexto, conducta observable, intensidad, duración y descripción.</t>
  </si>
  <si>
    <t>Por actualizar</t>
  </si>
  <si>
    <t>R.12</t>
  </si>
  <si>
    <t>Registro de estrategias de intervención</t>
  </si>
  <si>
    <t>Observación &gt; Estrategia</t>
  </si>
  <si>
    <t>I6</t>
  </si>
  <si>
    <t>Agregar estrategia; Guardar; Editar</t>
  </si>
  <si>
    <t>Chatbot e IA</t>
  </si>
  <si>
    <t>POST /observaciones/:id/estrategias</t>
  </si>
  <si>
    <t>estrategia, intervencion</t>
  </si>
  <si>
    <t>Asociar estrategia a una observación indicando qué se aplicó y durante cuánto tiempo.</t>
  </si>
  <si>
    <t>Modelo local, orquestación, sugerencias y feedback</t>
  </si>
  <si>
    <t>Daniel / Equipo</t>
  </si>
  <si>
    <t>Parametro</t>
  </si>
  <si>
    <t>R.13</t>
  </si>
  <si>
    <t>Registro de resultados</t>
  </si>
  <si>
    <t>Intervención &gt; Resultado</t>
  </si>
  <si>
    <t>I7</t>
  </si>
  <si>
    <t>T03</t>
  </si>
  <si>
    <t>Favorable; Parcial; No favorable; Guardar</t>
  </si>
  <si>
    <t>Integración e informes</t>
  </si>
  <si>
    <t>POST /intervenciones/:id/resultado</t>
  </si>
  <si>
    <t>Casos de uso</t>
  </si>
  <si>
    <t>resultado_intervencion</t>
  </si>
  <si>
    <t>Integración general y generación de informes</t>
  </si>
  <si>
    <t>Diseñar actores y casos de uso</t>
  </si>
  <si>
    <t>Registrar resultado y observaciones posteriores para alimentar análisis.</t>
  </si>
  <si>
    <t>Gloria / Jorge</t>
  </si>
  <si>
    <t>Diagrama y especificaciones</t>
  </si>
  <si>
    <t>R.14</t>
  </si>
  <si>
    <t>Historial conductual</t>
  </si>
  <si>
    <t>Estudiante &gt; Historial</t>
  </si>
  <si>
    <t>Filtrar periodo; Ver detalle; Exportar (opcional)</t>
  </si>
  <si>
    <t>GET /estudiantes/:id/historial</t>
  </si>
  <si>
    <t>observacion_conductual, intervencion, resultado_intervencion</t>
  </si>
  <si>
    <t>Consultar cronológicamente observaciones, estrategias y resultados con filtros.</t>
  </si>
  <si>
    <t>R.15</t>
  </si>
  <si>
    <t>Dashboard conductual</t>
  </si>
  <si>
    <t>I8</t>
  </si>
  <si>
    <t>Pruebas y estabilización</t>
  </si>
  <si>
    <t>Estudiante &gt; Dashboard</t>
  </si>
  <si>
    <t>Cambiar periodo; Ver detalle</t>
  </si>
  <si>
    <t>Pruebas funcionales/integración/seguridad y corrección</t>
  </si>
  <si>
    <t>GET /estudiantes/:id/dashboard</t>
  </si>
  <si>
    <t>vistas/consultas analíticas</t>
  </si>
  <si>
    <t>Mostrar cantidad de registros, intensidad, duración, contextos y estrategias.</t>
  </si>
  <si>
    <t>T04</t>
  </si>
  <si>
    <t>Arquitectura</t>
  </si>
  <si>
    <t>Diseñar arquitectura lógica y tecnológica</t>
  </si>
  <si>
    <t>Gloria / Daniel</t>
  </si>
  <si>
    <t>Diagrama arquitectura</t>
  </si>
  <si>
    <t>R.16</t>
  </si>
  <si>
    <t>Análisis de patrones</t>
  </si>
  <si>
    <t>Dashboard &gt; Patrones</t>
  </si>
  <si>
    <t>Cambiar periodo; Ver evidencia</t>
  </si>
  <si>
    <t>GET /estudiantes/:id/patrones</t>
  </si>
  <si>
    <t>vw_patrones_estudiante, funciones SQL</t>
  </si>
  <si>
    <t>Identificar recurrencias/tendencias usando datos históricos sin inferir diagnósticos.</t>
  </si>
  <si>
    <t>R.17</t>
  </si>
  <si>
    <t>Chatbot inteligente</t>
  </si>
  <si>
    <t>Estudiante &gt; Asistente TEAprendo</t>
  </si>
  <si>
    <t>Enviar; Limpiar conversación; Ver fuentes/contexto</t>
  </si>
  <si>
    <t>POST /ia/chat</t>
  </si>
  <si>
    <t>consulta_ia, respuesta_ia</t>
  </si>
  <si>
    <t>Responder preguntas en lenguaje natural con datos autorizados y contexto procesado.</t>
  </si>
  <si>
    <t>I9</t>
  </si>
  <si>
    <t>Cierre y defensa</t>
  </si>
  <si>
    <t>Documentación, evidencias, presentación y defensa</t>
  </si>
  <si>
    <t>T05</t>
  </si>
  <si>
    <t>Datos</t>
  </si>
  <si>
    <t>Diseñar modelo ER y normalización inicial</t>
  </si>
  <si>
    <t>R.18</t>
  </si>
  <si>
    <t>Sugerencias contextualizadas</t>
  </si>
  <si>
    <t>Daniel</t>
  </si>
  <si>
    <t>MER inicial</t>
  </si>
  <si>
    <t>Chatbot / Panel sugerencias</t>
  </si>
  <si>
    <t>Solicitar sugerencia; Ver antecedentes utilizados</t>
  </si>
  <si>
    <t>POST /ia/sugerencias</t>
  </si>
  <si>
    <t>consulta_ia, respuesta_ia, vistas analíticas</t>
  </si>
  <si>
    <t>Sugerir antecedentes/estrategias históricas; no diagnosticar ni garantizar resultados.</t>
  </si>
  <si>
    <t>R.19</t>
  </si>
  <si>
    <t>Evaluación de sugerencias</t>
  </si>
  <si>
    <t>Respuesta IA</t>
  </si>
  <si>
    <t>Útil; Parcialmente útil; No útil; Comentario</t>
  </si>
  <si>
    <t>POST /ia/respuestas/:id/feedback</t>
  </si>
  <si>
    <t>feedback_ia</t>
  </si>
  <si>
    <t>Registrar utilidad percibida para evaluar el asistente y mejorar el servicio.</t>
  </si>
  <si>
    <t>T06</t>
  </si>
  <si>
    <t>R.20</t>
  </si>
  <si>
    <t>UX/UI</t>
  </si>
  <si>
    <t>Diseñar navegación y prototipos principales</t>
  </si>
  <si>
    <t>Prototipos login/home/módulos</t>
  </si>
  <si>
    <t>Generación de informes</t>
  </si>
  <si>
    <t>Estudiante &gt; Informes</t>
  </si>
  <si>
    <t>Seleccionar periodo; Generar; Descargar/Visualizar</t>
  </si>
  <si>
    <t>POST /estudiantes/:id/informes; GET /estudiantes/:id/informes</t>
  </si>
  <si>
    <t>informe, vistas analíticas</t>
  </si>
  <si>
    <t>Generar informe de seguimiento con indicadores y antecedentes del periodo.</t>
  </si>
  <si>
    <t>T07</t>
  </si>
  <si>
    <t>Infraestructura</t>
  </si>
  <si>
    <t>Crear repositorio y estructura de proyectos</t>
  </si>
  <si>
    <t>Repositorios y ramas</t>
  </si>
  <si>
    <t>T08</t>
  </si>
  <si>
    <t>Base de datos</t>
  </si>
  <si>
    <t>Instalar/configurar PostgreSQL y esquema base</t>
  </si>
  <si>
    <t>BD operativa</t>
  </si>
  <si>
    <t>T09</t>
  </si>
  <si>
    <t>Crear tablas usuario, rol y relación usuario_rol</t>
  </si>
  <si>
    <t>DDL ejecutable</t>
  </si>
  <si>
    <t>T10</t>
  </si>
  <si>
    <t>Backend</t>
  </si>
  <si>
    <t>Crear estructura Node.js/Express y conexión PostgreSQL</t>
  </si>
  <si>
    <t>API levanta y conecta BD</t>
  </si>
  <si>
    <t>T11</t>
  </si>
  <si>
    <t>Autenticación</t>
  </si>
  <si>
    <t>Implementar login y emisión/validación de token</t>
  </si>
  <si>
    <t>POST /auth/login</t>
  </si>
  <si>
    <t>T12</t>
  </si>
  <si>
    <t>Frontend</t>
  </si>
  <si>
    <t>Construir vista Login y validaciones</t>
  </si>
  <si>
    <t>Jorge</t>
  </si>
  <si>
    <t>Pantalla login funcional</t>
  </si>
  <si>
    <t>T13</t>
  </si>
  <si>
    <t>Autorización</t>
  </si>
  <si>
    <t>Middleware y navegación según rol</t>
  </si>
  <si>
    <t>Menú distinto por rol</t>
  </si>
  <si>
    <t>T14</t>
  </si>
  <si>
    <t>Usuarios</t>
  </si>
  <si>
    <t>CRUD básico de usuarios administrador</t>
  </si>
  <si>
    <t>R.1 operativa</t>
  </si>
  <si>
    <t>T15</t>
  </si>
  <si>
    <t>Crear entidades estudiante, curso y relaciones</t>
  </si>
  <si>
    <t>DDL estudiante/curso</t>
  </si>
  <si>
    <t>T16</t>
  </si>
  <si>
    <t>Implementar CRUD de estudiantes</t>
  </si>
  <si>
    <t>Endpoints estudiante</t>
  </si>
  <si>
    <t>T17</t>
  </si>
  <si>
    <t>Lista, detalle, crear y editar estudiante</t>
  </si>
  <si>
    <t>Vistas estudiantes</t>
  </si>
  <si>
    <t>T18</t>
  </si>
  <si>
    <t>Cursos</t>
  </si>
  <si>
    <t>CRUD de cursos y asignación de estudiantes</t>
  </si>
  <si>
    <t>R.5 operativa</t>
  </si>
  <si>
    <t>T19</t>
  </si>
  <si>
    <t>Perfil</t>
  </si>
  <si>
    <t>Construir perfil autorizado del estudiante</t>
  </si>
  <si>
    <t>R.6 operativa</t>
  </si>
  <si>
    <t>T20</t>
  </si>
  <si>
    <t>Agenda</t>
  </si>
  <si>
    <t>Vista calendario y consulta de actividades</t>
  </si>
  <si>
    <t>R.7 operativa</t>
  </si>
  <si>
    <t>T21</t>
  </si>
  <si>
    <t>Citas</t>
  </si>
  <si>
    <t>Formulario y flujo de solicitud de cita</t>
  </si>
  <si>
    <t>R.8 operativa</t>
  </si>
  <si>
    <t>T22</t>
  </si>
  <si>
    <t>Notificaciones</t>
  </si>
  <si>
    <t>Gestión y bandeja de notificaciones</t>
  </si>
  <si>
    <t>R.9-R.10 operativas</t>
  </si>
  <si>
    <t>T23</t>
  </si>
  <si>
    <t>Crear tablas de observación, intervención y resultado</t>
  </si>
  <si>
    <t>Modelo seguimiento</t>
  </si>
  <si>
    <t>T24</t>
  </si>
  <si>
    <t>Seguimiento</t>
  </si>
  <si>
    <t>Formulario de observación conductual</t>
  </si>
  <si>
    <t>R.11 operativa</t>
  </si>
  <si>
    <t>T25</t>
  </si>
  <si>
    <t>Registrar estrategias de intervención</t>
  </si>
  <si>
    <t>R.12 operativa</t>
  </si>
  <si>
    <t>T26</t>
  </si>
  <si>
    <t>Registrar resultado de intervención</t>
  </si>
  <si>
    <t>R.13 operativa</t>
  </si>
  <si>
    <t>T27</t>
  </si>
  <si>
    <t>Historial</t>
  </si>
  <si>
    <t>Construir historial con filtros por periodo</t>
  </si>
  <si>
    <t>R.14 operativa</t>
  </si>
  <si>
    <t>T28</t>
  </si>
  <si>
    <t>Analítica</t>
  </si>
  <si>
    <t>Crear vistas/funciones SQL para indicadores</t>
  </si>
  <si>
    <t>Vistas analíticas</t>
  </si>
  <si>
    <t>T29</t>
  </si>
  <si>
    <t>Definir reglas de recurrencia y suficiencia de datos</t>
  </si>
  <si>
    <t>Reglas documentadas</t>
  </si>
  <si>
    <t>T30</t>
  </si>
  <si>
    <t>Dashboard</t>
  </si>
  <si>
    <t>API de indicadores y patrones</t>
  </si>
  <si>
    <t>R.15-R.16 backend</t>
  </si>
  <si>
    <t>T31</t>
  </si>
  <si>
    <t>Construir dashboard visual por estudiante</t>
  </si>
  <si>
    <t>Dashboard funcional</t>
  </si>
  <si>
    <t>T32</t>
  </si>
  <si>
    <t>IA</t>
  </si>
  <si>
    <t>Seleccionar modelo local y validar rendimiento</t>
  </si>
  <si>
    <t>Modelo base seleccionado</t>
  </si>
  <si>
    <t>T33</t>
  </si>
  <si>
    <t>Preparar servicio local de inferencia</t>
  </si>
  <si>
    <t>API local IA</t>
  </si>
  <si>
    <t>T34</t>
  </si>
  <si>
    <t>Diseñar dataset sintético y reglas de respuesta</t>
  </si>
  <si>
    <t>Dataset v1</t>
  </si>
  <si>
    <t>T35</t>
  </si>
  <si>
    <t>Integrar consulta analítica con contexto del chatbot</t>
  </si>
  <si>
    <t>Pipeline contexto→IA</t>
  </si>
  <si>
    <t>T36</t>
  </si>
  <si>
    <t>Implementar chat UI y preguntas libres</t>
  </si>
  <si>
    <t>R.17 operativa</t>
  </si>
  <si>
    <t>T37</t>
  </si>
  <si>
    <t>Implementar sugerencias y restricciones de alcance</t>
  </si>
  <si>
    <t>R.18 operativa</t>
  </si>
  <si>
    <t>T38</t>
  </si>
  <si>
    <t>Registrar feedback de respuestas</t>
  </si>
  <si>
    <t>R.19 operativa</t>
  </si>
  <si>
    <t>T39</t>
  </si>
  <si>
    <t>Integración</t>
  </si>
  <si>
    <t>Integrar navegación y flujos entre módulos</t>
  </si>
  <si>
    <t>Flujo E2E</t>
  </si>
  <si>
    <t>T40</t>
  </si>
  <si>
    <t>Seguridad</t>
  </si>
  <si>
    <t>Revisión permisos usuario-estudiante y auditoría</t>
  </si>
  <si>
    <t>Matriz permisos</t>
  </si>
  <si>
    <t>T41</t>
  </si>
  <si>
    <t>Informes</t>
  </si>
  <si>
    <t>Generar informe de seguimiento</t>
  </si>
  <si>
    <t>R.20 operativa</t>
  </si>
  <si>
    <t>T42</t>
  </si>
  <si>
    <t>QA</t>
  </si>
  <si>
    <t>Diseñar plan y casos de prueba</t>
  </si>
  <si>
    <t>Plan de pruebas</t>
  </si>
  <si>
    <t>T43</t>
  </si>
  <si>
    <t>Ejecutar pruebas funcionales e integración</t>
  </si>
  <si>
    <t>Resultados pruebas</t>
  </si>
  <si>
    <t>T44</t>
  </si>
  <si>
    <t>Ejecutar pruebas de seguridad y autorización</t>
  </si>
  <si>
    <t>Evidencias seguridad</t>
  </si>
  <si>
    <t>T45</t>
  </si>
  <si>
    <t>Corrección</t>
  </si>
  <si>
    <t>Corregir defectos y ejecutar regresión</t>
  </si>
  <si>
    <t>Versión estable</t>
  </si>
  <si>
    <t>T46</t>
  </si>
  <si>
    <t>Documentación</t>
  </si>
  <si>
    <t>Actualizar documentación técnica y evidencias</t>
  </si>
  <si>
    <t>Documentación final</t>
  </si>
  <si>
    <t>T47</t>
  </si>
  <si>
    <t>Presentación</t>
  </si>
  <si>
    <t>Preparar demo y presentación final</t>
  </si>
  <si>
    <t>PPT + guion demo</t>
  </si>
  <si>
    <t>T48</t>
  </si>
  <si>
    <t>Defensa</t>
  </si>
  <si>
    <t>Presentación y defensa TEAprendo</t>
  </si>
  <si>
    <t>Defensa final</t>
  </si>
  <si>
    <t>Leyenda de avance</t>
  </si>
  <si>
    <t>●</t>
  </si>
  <si>
    <t>Completado (100%)</t>
  </si>
  <si>
    <t>Avance alto (75%–99%)</t>
  </si>
  <si>
    <t>En proceso (25%–74%)</t>
  </si>
  <si>
    <t>Inicio / avance bajo (1%–24%)</t>
  </si>
  <si>
    <t>Atrasado / vencido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</si>
</sst>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000000"/>
      <name val="Carlito"/>
    </font>
    <font>
      <color theme="1"/>
      <name val="Carlito"/>
      <scheme val="minor"/>
    </font>
    <font>
      <b/>
      <sz val="11.0"/>
      <color rgb="FF166534"/>
      <name val="Carlito"/>
    </font>
    <font>
      <sz val="11.0"/>
      <color rgb="FF000000"/>
      <name val="Carlito"/>
    </font>
    <font/>
    <font>
      <b/>
      <sz val="11.0"/>
      <color rgb="FF22C55E"/>
      <name val="Carlito"/>
    </font>
    <font>
      <b/>
      <sz val="11.0"/>
      <color rgb="FF84CC16"/>
      <name val="Carlito"/>
    </font>
    <font>
      <b/>
      <sz val="11.0"/>
      <color rgb="FFF59E0B"/>
      <name val="Carlito"/>
    </font>
    <font>
      <b/>
      <sz val="11.0"/>
      <color rgb="FFF97316"/>
      <name val="Carlito"/>
    </font>
    <font>
      <b/>
      <sz val="11.0"/>
      <color rgb="FFEF4444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EFFDE"/>
        <bgColor rgb="FFDEFFDE"/>
      </patternFill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DCFCE7"/>
        <bgColor rgb="FFDCFCE7"/>
      </patternFill>
    </fill>
    <fill>
      <patternFill patternType="solid">
        <fgColor rgb="FF86EFAC"/>
        <bgColor rgb="FF86EFAC"/>
      </patternFill>
    </fill>
  </fills>
  <borders count="15">
    <border/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left/>
      <right/>
      <top style="thin">
        <color rgb="FFB7B7B7"/>
      </top>
      <bottom style="thin">
        <color rgb="FFB7B7B7"/>
      </bottom>
    </border>
    <border>
      <left/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2" fillId="3" fontId="3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4" numFmtId="0" xfId="0" applyFont="1"/>
    <xf borderId="2" fillId="4" fontId="1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3" fillId="5" fontId="1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readingOrder="0"/>
    </xf>
    <xf borderId="8" fillId="2" fontId="1" numFmtId="0" xfId="0" applyAlignment="1" applyBorder="1" applyFill="1" applyFont="1">
      <alignment horizontal="center" readingOrder="0"/>
    </xf>
    <xf borderId="6" fillId="0" fontId="2" numFmtId="0" xfId="0" applyAlignment="1" applyBorder="1" applyFont="1">
      <alignment readingOrder="0" shrinkToFit="0" vertical="top" wrapText="1"/>
    </xf>
    <xf borderId="6" fillId="0" fontId="2" numFmtId="9" xfId="0" applyAlignment="1" applyBorder="1" applyFont="1" applyNumberFormat="1">
      <alignment readingOrder="0"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6" fillId="0" fontId="2" numFmtId="0" xfId="0" applyAlignment="1" applyBorder="1" applyFont="1">
      <alignment horizontal="center" shrinkToFit="0" vertical="top" wrapText="1"/>
    </xf>
    <xf borderId="6" fillId="0" fontId="2" numFmtId="9" xfId="0" applyAlignment="1" applyBorder="1" applyFont="1" applyNumberFormat="1">
      <alignment shrinkToFit="0" vertical="top" wrapText="1"/>
    </xf>
    <xf borderId="9" fillId="0" fontId="2" numFmtId="9" xfId="0" applyAlignment="1" applyBorder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9" xfId="0" applyAlignment="1" applyFont="1" applyNumberFormat="1">
      <alignment readingOrder="0" shrinkToFit="0" vertical="top" wrapText="1"/>
    </xf>
    <xf borderId="11" fillId="0" fontId="2" numFmtId="0" xfId="0" applyAlignment="1" applyBorder="1" applyFont="1">
      <alignment shrinkToFit="0" vertical="top" wrapText="1"/>
    </xf>
    <xf borderId="0" fillId="0" fontId="2" numFmtId="9" xfId="0" applyAlignment="1" applyFont="1" applyNumberFormat="1">
      <alignment shrinkToFit="0" vertical="top" wrapText="1"/>
    </xf>
    <xf borderId="11" fillId="0" fontId="2" numFmtId="9" xfId="0" applyAlignment="1" applyBorder="1" applyFont="1" applyNumberFormat="1">
      <alignment readingOrder="0" shrinkToFit="0" vertical="top" wrapText="1"/>
    </xf>
    <xf borderId="11" fillId="0" fontId="2" numFmtId="9" xfId="0" applyAlignment="1" applyBorder="1" applyFont="1" applyNumberFormat="1">
      <alignment shrinkToFit="0" vertical="top" wrapText="1"/>
    </xf>
    <xf borderId="9" fillId="0" fontId="2" numFmtId="0" xfId="0" applyAlignment="1" applyBorder="1" applyFont="1">
      <alignment horizontal="center" shrinkToFit="0" vertical="top" wrapText="1"/>
    </xf>
    <xf borderId="0" fillId="6" fontId="5" numFmtId="0" xfId="0" applyAlignment="1" applyFill="1" applyFont="1">
      <alignment horizontal="center" readingOrder="0" vertical="bottom"/>
    </xf>
    <xf borderId="0" fillId="7" fontId="6" numFmtId="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shrinkToFit="0" vertical="top" wrapText="1"/>
    </xf>
    <xf borderId="11" fillId="0" fontId="2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readingOrder="0"/>
    </xf>
    <xf borderId="12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shrinkToFit="0" vertical="top" wrapText="1"/>
    </xf>
    <xf borderId="13" fillId="0" fontId="2" numFmtId="9" xfId="0" applyAlignment="1" applyBorder="1" applyFont="1" applyNumberFormat="1">
      <alignment shrinkToFit="0" vertical="top" wrapText="1"/>
    </xf>
    <xf borderId="14" fillId="0" fontId="2" numFmtId="9" xfId="0" applyAlignment="1" applyBorder="1" applyFont="1" applyNumberFormat="1">
      <alignment shrinkToFit="0" vertical="top" wrapText="1"/>
    </xf>
    <xf borderId="14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horizontal="center" shrinkToFit="0" vertical="top" wrapText="1"/>
    </xf>
    <xf borderId="14" fillId="0" fontId="2" numFmtId="0" xfId="0" applyAlignment="1" applyBorder="1" applyFont="1">
      <alignment horizontal="center" shrinkToFit="0" vertical="top" wrapText="1"/>
    </xf>
    <xf borderId="5" fillId="2" fontId="1" numFmtId="0" xfId="0" applyAlignment="1" applyBorder="1" applyFill="1" applyFont="1">
      <alignment horizontal="center" readingOrder="0" shrinkToFit="0" vertical="bottom" wrapText="0"/>
    </xf>
    <xf borderId="6" fillId="0" fontId="7" numFmtId="0" xfId="0" applyBorder="1" applyFont="1"/>
    <xf borderId="10" fillId="0" fontId="8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readingOrder="0" vertical="bottom"/>
    </xf>
    <xf borderId="0" fillId="0" fontId="6" numFmtId="0" xfId="0" applyAlignment="1" applyFont="1">
      <alignment shrinkToFit="0" vertical="bottom" wrapText="0"/>
    </xf>
    <xf borderId="10" fillId="0" fontId="9" numFmtId="0" xfId="0" applyAlignment="1" applyBorder="1" applyFont="1">
      <alignment horizontal="center" readingOrder="0" vertical="bottom"/>
    </xf>
    <xf borderId="10" fillId="0" fontId="10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center" readingOrder="0" vertical="bottom"/>
    </xf>
    <xf borderId="12" fillId="0" fontId="12" numFmtId="0" xfId="0" applyAlignment="1" applyBorder="1" applyFont="1">
      <alignment horizontal="center" readingOrder="0" vertical="bottom"/>
    </xf>
    <xf borderId="14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>
        <b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>
        <b/>
        <color rgb="FFFFFFFF"/>
      </font>
      <fill>
        <patternFill patternType="solid">
          <fgColor rgb="FF1F4E78"/>
          <bgColor rgb="FF1F4E7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0.0"/>
    <col customWidth="1" min="3" max="3" width="8.75"/>
    <col customWidth="1" min="4" max="4" width="11.5"/>
    <col customWidth="1" min="5" max="26" width="8.75"/>
  </cols>
  <sheetData>
    <row r="1" ht="13.5" customHeight="1">
      <c r="A1" s="1" t="s">
        <v>1</v>
      </c>
      <c r="B1" s="3" t="s">
        <v>5</v>
      </c>
      <c r="D1" s="4" t="s">
        <v>19</v>
      </c>
    </row>
    <row r="2" ht="13.5" customHeight="1">
      <c r="A2" s="5" t="s">
        <v>27</v>
      </c>
      <c r="B2" s="9">
        <v>8.0</v>
      </c>
      <c r="D2" s="10" t="s">
        <v>49</v>
      </c>
    </row>
    <row r="3" ht="13.5" customHeight="1">
      <c r="A3" s="5" t="s">
        <v>54</v>
      </c>
      <c r="B3" s="5" t="s">
        <v>56</v>
      </c>
      <c r="D3" s="10" t="s">
        <v>58</v>
      </c>
    </row>
    <row r="4" ht="13.5" customHeight="1">
      <c r="D4" s="10" t="s">
        <v>60</v>
      </c>
    </row>
    <row r="5" ht="13.5" customHeight="1">
      <c r="D5" s="10" t="s">
        <v>61</v>
      </c>
    </row>
    <row r="6" ht="13.5" customHeight="1">
      <c r="D6" s="10" t="s">
        <v>63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23.88"/>
    <col customWidth="1" min="3" max="3" width="8.0"/>
    <col customWidth="1" min="4" max="4" width="10.75"/>
    <col customWidth="1" min="5" max="5" width="63.0"/>
    <col customWidth="1" min="6" max="6" width="13.13"/>
    <col customWidth="1" min="7" max="7" width="17.0"/>
    <col customWidth="1" min="8" max="8" width="12.63"/>
    <col customWidth="1" min="9" max="9" width="11.75"/>
    <col customWidth="1" min="10" max="10" width="6.38"/>
    <col customWidth="1" min="11" max="26" width="8.75"/>
  </cols>
  <sheetData>
    <row r="1" ht="13.5" customHeight="1">
      <c r="A1" s="1" t="s">
        <v>4</v>
      </c>
      <c r="B1" s="2" t="s">
        <v>8</v>
      </c>
      <c r="C1" s="2" t="s">
        <v>12</v>
      </c>
      <c r="D1" s="2" t="s">
        <v>15</v>
      </c>
      <c r="E1" s="2" t="s">
        <v>18</v>
      </c>
      <c r="F1" s="2" t="s">
        <v>22</v>
      </c>
      <c r="G1" s="2" t="s">
        <v>25</v>
      </c>
      <c r="H1" s="2" t="s">
        <v>28</v>
      </c>
      <c r="I1" s="2" t="s">
        <v>30</v>
      </c>
      <c r="J1" s="3" t="s">
        <v>31</v>
      </c>
    </row>
    <row r="2" ht="13.5" customHeight="1">
      <c r="A2" s="7" t="s">
        <v>34</v>
      </c>
      <c r="B2" s="8" t="s">
        <v>38</v>
      </c>
      <c r="C2" s="8">
        <v>1.0</v>
      </c>
      <c r="D2" s="8">
        <v>5.0</v>
      </c>
      <c r="E2" s="8" t="s">
        <v>44</v>
      </c>
      <c r="F2" s="8" t="s">
        <v>47</v>
      </c>
      <c r="G2" s="8" t="str">
        <f>IF(Config!$B$2&lt;C2,"Pendiente",IF(Config!$B$2&gt;D2,"Completado","En curso"))</f>
        <v>Completado</v>
      </c>
      <c r="H2" s="22">
        <f>MAX(0,MIN(1,(Config!$B$2-C2+1)/(D2-C2+1)))</f>
        <v>1</v>
      </c>
      <c r="I2" s="16" t="s">
        <v>61</v>
      </c>
      <c r="J2" s="23">
        <v>1.0</v>
      </c>
    </row>
    <row r="3" ht="13.5" customHeight="1">
      <c r="A3" s="19" t="s">
        <v>48</v>
      </c>
      <c r="B3" s="20" t="s">
        <v>83</v>
      </c>
      <c r="C3" s="20">
        <v>6.0</v>
      </c>
      <c r="D3" s="20">
        <v>7.0</v>
      </c>
      <c r="E3" s="20" t="s">
        <v>84</v>
      </c>
      <c r="F3" s="20" t="s">
        <v>85</v>
      </c>
      <c r="G3" s="20" t="str">
        <f>IF(Config!$B$2&lt;C3,"Pendiente",IF(Config!$B$2&gt;D3,"Completado","En curso"))</f>
        <v>Completado</v>
      </c>
      <c r="H3" s="27">
        <f>MAX(0,MIN(1,(Config!$B$2-C3+1)/(D3-C3+1)))</f>
        <v>1</v>
      </c>
      <c r="I3" s="24" t="s">
        <v>61</v>
      </c>
      <c r="J3" s="28">
        <v>1.0</v>
      </c>
    </row>
    <row r="4" ht="13.5" customHeight="1">
      <c r="A4" s="19" t="s">
        <v>95</v>
      </c>
      <c r="B4" s="20" t="s">
        <v>101</v>
      </c>
      <c r="C4" s="20">
        <v>7.0</v>
      </c>
      <c r="D4" s="20">
        <v>8.0</v>
      </c>
      <c r="E4" s="20" t="s">
        <v>102</v>
      </c>
      <c r="F4" s="20" t="s">
        <v>103</v>
      </c>
      <c r="G4" s="20" t="str">
        <f>IF(Config!$B$2&lt;C4,"Pendiente",IF(Config!$B$2&gt;D4,"Completado","En curso"))</f>
        <v>En curso</v>
      </c>
      <c r="H4" s="27">
        <f>MAX(0,MIN(1,(Config!$B$2-C4+1)/(D4-C4+1)))</f>
        <v>1</v>
      </c>
      <c r="I4" s="24" t="s">
        <v>61</v>
      </c>
      <c r="J4" s="28">
        <v>1.0</v>
      </c>
    </row>
    <row r="5" ht="13.5" customHeight="1">
      <c r="A5" s="19" t="s">
        <v>119</v>
      </c>
      <c r="B5" s="20" t="s">
        <v>120</v>
      </c>
      <c r="C5" s="20">
        <v>8.0</v>
      </c>
      <c r="D5" s="20">
        <v>9.0</v>
      </c>
      <c r="E5" s="20" t="s">
        <v>121</v>
      </c>
      <c r="F5" s="20" t="s">
        <v>122</v>
      </c>
      <c r="G5" s="20" t="str">
        <f>IF(Config!$B$2&lt;C5,"Pendiente",IF(Config!$B$2&gt;D5,"Completado","En curso"))</f>
        <v>En curso</v>
      </c>
      <c r="H5" s="27">
        <f>MAX(0,MIN(1,(Config!$B$2-C5+1)/(D5-C5+1)))</f>
        <v>0.5</v>
      </c>
      <c r="I5" s="24" t="s">
        <v>58</v>
      </c>
      <c r="J5" s="29">
        <v>0.0</v>
      </c>
    </row>
    <row r="6" ht="13.5" customHeight="1">
      <c r="A6" s="19" t="s">
        <v>138</v>
      </c>
      <c r="B6" s="20" t="s">
        <v>139</v>
      </c>
      <c r="C6" s="20">
        <v>8.0</v>
      </c>
      <c r="D6" s="20">
        <v>10.0</v>
      </c>
      <c r="E6" s="20" t="s">
        <v>140</v>
      </c>
      <c r="F6" s="20" t="s">
        <v>85</v>
      </c>
      <c r="G6" s="20" t="str">
        <f>IF(Config!$B$2&lt;C6,"Pendiente",IF(Config!$B$2&gt;D6,"Completado","En curso"))</f>
        <v>En curso</v>
      </c>
      <c r="H6" s="27">
        <f>MAX(0,MIN(1,(Config!$B$2-C6+1)/(D6-C6+1)))</f>
        <v>0.3333333333</v>
      </c>
      <c r="I6" s="24" t="s">
        <v>58</v>
      </c>
      <c r="J6" s="29">
        <v>0.0</v>
      </c>
    </row>
    <row r="7" ht="13.5" customHeight="1">
      <c r="A7" s="19" t="s">
        <v>154</v>
      </c>
      <c r="B7" s="20" t="s">
        <v>155</v>
      </c>
      <c r="C7" s="20">
        <v>9.0</v>
      </c>
      <c r="D7" s="20">
        <v>11.0</v>
      </c>
      <c r="E7" s="20" t="s">
        <v>156</v>
      </c>
      <c r="F7" s="20" t="s">
        <v>157</v>
      </c>
      <c r="G7" s="20" t="str">
        <f>IF(Config!$B$2&lt;C7,"Pendiente",IF(Config!$B$2&gt;D7,"Completado","En curso"))</f>
        <v>Pendiente</v>
      </c>
      <c r="H7" s="27">
        <f>MAX(0,MIN(1,(Config!$B$2-C7+1)/(D7-C7+1)))</f>
        <v>0</v>
      </c>
      <c r="I7" s="20" t="s">
        <v>170</v>
      </c>
      <c r="J7" s="29">
        <v>0.0</v>
      </c>
    </row>
    <row r="8" ht="13.5" customHeight="1">
      <c r="A8" s="19" t="s">
        <v>174</v>
      </c>
      <c r="B8" s="20" t="s">
        <v>176</v>
      </c>
      <c r="C8" s="20">
        <v>10.0</v>
      </c>
      <c r="D8" s="20">
        <v>12.0</v>
      </c>
      <c r="E8" s="20" t="s">
        <v>180</v>
      </c>
      <c r="F8" s="20" t="s">
        <v>181</v>
      </c>
      <c r="G8" s="20" t="str">
        <f>IF(Config!$B$2&lt;C8,"Pendiente",IF(Config!$B$2&gt;D8,"Completado","En curso"))</f>
        <v>Pendiente</v>
      </c>
      <c r="H8" s="25">
        <v>0.8</v>
      </c>
      <c r="I8" s="24" t="s">
        <v>58</v>
      </c>
      <c r="J8" s="28">
        <v>0.1</v>
      </c>
    </row>
    <row r="9" ht="13.5" customHeight="1">
      <c r="A9" s="19" t="s">
        <v>186</v>
      </c>
      <c r="B9" s="20" t="s">
        <v>189</v>
      </c>
      <c r="C9" s="20">
        <v>11.0</v>
      </c>
      <c r="D9" s="20">
        <v>13.0</v>
      </c>
      <c r="E9" s="20" t="s">
        <v>193</v>
      </c>
      <c r="F9" s="20" t="s">
        <v>47</v>
      </c>
      <c r="G9" s="20" t="str">
        <f>IF(Config!$B$2&lt;C9,"Pendiente",IF(Config!$B$2&gt;D9,"Completado","En curso"))</f>
        <v>Pendiente</v>
      </c>
      <c r="H9" s="27">
        <f>MAX(0,MIN(1,(Config!$B$2-C9+1)/(D9-C9+1)))</f>
        <v>0</v>
      </c>
      <c r="I9" s="20" t="s">
        <v>170</v>
      </c>
      <c r="J9" s="29">
        <v>0.0</v>
      </c>
    </row>
    <row r="10" ht="13.5" customHeight="1">
      <c r="A10" s="19" t="s">
        <v>207</v>
      </c>
      <c r="B10" s="20" t="s">
        <v>208</v>
      </c>
      <c r="C10" s="20">
        <v>12.0</v>
      </c>
      <c r="D10" s="20">
        <v>15.0</v>
      </c>
      <c r="E10" s="20" t="s">
        <v>211</v>
      </c>
      <c r="F10" s="20" t="s">
        <v>47</v>
      </c>
      <c r="G10" s="20" t="str">
        <f>IF(Config!$B$2&lt;C10,"Pendiente",IF(Config!$B$2&gt;D10,"Completado","En curso"))</f>
        <v>Pendiente</v>
      </c>
      <c r="H10" s="27">
        <f>MAX(0,MIN(1,(Config!$B$2-C10+1)/(D10-C10+1)))</f>
        <v>0</v>
      </c>
      <c r="I10" s="20" t="s">
        <v>170</v>
      </c>
      <c r="J10" s="29">
        <v>0.0</v>
      </c>
    </row>
    <row r="11" ht="13.5" customHeight="1">
      <c r="A11" s="36" t="s">
        <v>234</v>
      </c>
      <c r="B11" s="37" t="s">
        <v>235</v>
      </c>
      <c r="C11" s="37">
        <v>13.0</v>
      </c>
      <c r="D11" s="37">
        <v>16.0</v>
      </c>
      <c r="E11" s="37" t="s">
        <v>236</v>
      </c>
      <c r="F11" s="37" t="s">
        <v>47</v>
      </c>
      <c r="G11" s="37" t="str">
        <f>IF(Config!$B$2&lt;C11,"Pendiente",IF(Config!$B$2&gt;D11,"Completado","En curso"))</f>
        <v>Pendiente</v>
      </c>
      <c r="H11" s="38">
        <f>MAX(0,MIN(1,(Config!$B$2-C11+1)/(D11-C11+1)))</f>
        <v>0</v>
      </c>
      <c r="I11" s="37" t="s">
        <v>170</v>
      </c>
      <c r="J11" s="39">
        <v>0.0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I2:I11">
      <formula1>"Por actualizar,No iniciado,En desarrollo,En pruebas,Terminado,Bloqueado"</formula1>
    </dataValidation>
    <dataValidation type="decimal" allowBlank="1" sqref="J2:J11">
      <formula1>0.0</formula1>
      <formula2>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33.75"/>
    <col customWidth="1" min="3" max="3" width="8.75"/>
    <col customWidth="1" min="4" max="4" width="18.25"/>
    <col customWidth="1" min="5" max="5" width="8.5"/>
    <col customWidth="1" min="6" max="6" width="7.75"/>
    <col customWidth="1" min="7" max="7" width="5.25"/>
    <col customWidth="1" min="8" max="8" width="46.25"/>
    <col customWidth="1" min="9" max="9" width="58.13"/>
    <col customWidth="1" min="10" max="10" width="66.75"/>
    <col customWidth="1" min="11" max="11" width="50.75"/>
    <col customWidth="1" min="12" max="12" width="72.63"/>
    <col customWidth="1" min="13" max="13" width="20.88"/>
    <col customWidth="1" min="14" max="14" width="11.75"/>
    <col customWidth="1" min="15" max="15" width="6.38"/>
    <col customWidth="1" min="16" max="16" width="14.13"/>
    <col customWidth="1" min="17" max="26" width="8.75"/>
  </cols>
  <sheetData>
    <row r="1" ht="13.5" customHeight="1">
      <c r="A1" s="1" t="s">
        <v>0</v>
      </c>
      <c r="B1" s="2" t="s">
        <v>2</v>
      </c>
      <c r="C1" s="2" t="s">
        <v>6</v>
      </c>
      <c r="D1" s="2" t="s">
        <v>7</v>
      </c>
      <c r="E1" s="2" t="s">
        <v>4</v>
      </c>
      <c r="F1" s="2" t="s">
        <v>9</v>
      </c>
      <c r="G1" s="2" t="s">
        <v>10</v>
      </c>
      <c r="H1" s="2" t="s">
        <v>13</v>
      </c>
      <c r="I1" s="2" t="s">
        <v>16</v>
      </c>
      <c r="J1" s="2" t="s">
        <v>20</v>
      </c>
      <c r="K1" s="2" t="s">
        <v>23</v>
      </c>
      <c r="L1" s="2" t="s">
        <v>24</v>
      </c>
      <c r="M1" s="2" t="s">
        <v>25</v>
      </c>
      <c r="N1" s="2" t="s">
        <v>30</v>
      </c>
      <c r="O1" s="2" t="s">
        <v>31</v>
      </c>
      <c r="P1" s="3" t="s">
        <v>32</v>
      </c>
    </row>
    <row r="2" ht="13.5" customHeight="1">
      <c r="A2" s="7" t="s">
        <v>33</v>
      </c>
      <c r="B2" s="8" t="s">
        <v>41</v>
      </c>
      <c r="C2" s="8" t="s">
        <v>43</v>
      </c>
      <c r="D2" s="8" t="s">
        <v>46</v>
      </c>
      <c r="E2" s="8" t="s">
        <v>48</v>
      </c>
      <c r="F2" s="8">
        <v>6.0</v>
      </c>
      <c r="G2" s="8">
        <v>7.0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tr">
        <f>IF(Config!$B$2&lt;F2,"Pendiente",IF(Config!$B$2&gt;G2,"Debería estar terminado","En desarrollo según plan"))</f>
        <v>Debería estar terminado</v>
      </c>
      <c r="N2" s="16" t="s">
        <v>61</v>
      </c>
      <c r="O2" s="17">
        <v>1.0</v>
      </c>
      <c r="P2" s="18"/>
    </row>
    <row r="3" ht="13.5" customHeight="1">
      <c r="A3" s="19" t="s">
        <v>75</v>
      </c>
      <c r="B3" s="20" t="s">
        <v>76</v>
      </c>
      <c r="C3" s="20" t="s">
        <v>43</v>
      </c>
      <c r="D3" s="20" t="s">
        <v>77</v>
      </c>
      <c r="E3" s="20" t="s">
        <v>48</v>
      </c>
      <c r="F3" s="20">
        <v>6.0</v>
      </c>
      <c r="G3" s="20">
        <v>7.0</v>
      </c>
      <c r="H3" s="20" t="s">
        <v>78</v>
      </c>
      <c r="I3" s="20" t="s">
        <v>79</v>
      </c>
      <c r="J3" s="20" t="s">
        <v>80</v>
      </c>
      <c r="K3" s="20" t="s">
        <v>81</v>
      </c>
      <c r="L3" s="20" t="s">
        <v>82</v>
      </c>
      <c r="M3" s="20" t="str">
        <f>IF(Config!$B$2&lt;F3,"Pendiente",IF(Config!$B$2&gt;G3,"Debería estar terminado","En desarrollo según plan"))</f>
        <v>Debería estar terminado</v>
      </c>
      <c r="N3" s="24" t="s">
        <v>61</v>
      </c>
      <c r="O3" s="25">
        <v>1.0</v>
      </c>
      <c r="P3" s="26"/>
    </row>
    <row r="4" ht="13.5" customHeight="1">
      <c r="A4" s="19" t="s">
        <v>86</v>
      </c>
      <c r="B4" s="20" t="s">
        <v>87</v>
      </c>
      <c r="C4" s="20" t="s">
        <v>43</v>
      </c>
      <c r="D4" s="20" t="s">
        <v>46</v>
      </c>
      <c r="E4" s="20" t="s">
        <v>48</v>
      </c>
      <c r="F4" s="20">
        <v>6.0</v>
      </c>
      <c r="G4" s="20">
        <v>7.0</v>
      </c>
      <c r="H4" s="20" t="s">
        <v>88</v>
      </c>
      <c r="I4" s="20" t="s">
        <v>89</v>
      </c>
      <c r="J4" s="20" t="s">
        <v>90</v>
      </c>
      <c r="K4" s="20" t="s">
        <v>91</v>
      </c>
      <c r="L4" s="20" t="s">
        <v>92</v>
      </c>
      <c r="M4" s="20" t="str">
        <f>IF(Config!$B$2&lt;F4,"Pendiente",IF(Config!$B$2&gt;G4,"Debería estar terminado","En desarrollo según plan"))</f>
        <v>Debería estar terminado</v>
      </c>
      <c r="N4" s="24" t="s">
        <v>61</v>
      </c>
      <c r="O4" s="25">
        <v>1.0</v>
      </c>
      <c r="P4" s="26"/>
    </row>
    <row r="5" ht="13.5" customHeight="1">
      <c r="A5" s="19" t="s">
        <v>93</v>
      </c>
      <c r="B5" s="20" t="s">
        <v>94</v>
      </c>
      <c r="C5" s="20" t="s">
        <v>43</v>
      </c>
      <c r="D5" s="20" t="s">
        <v>46</v>
      </c>
      <c r="E5" s="20" t="s">
        <v>95</v>
      </c>
      <c r="F5" s="20">
        <v>7.0</v>
      </c>
      <c r="G5" s="20">
        <v>8.0</v>
      </c>
      <c r="H5" s="20" t="s">
        <v>96</v>
      </c>
      <c r="I5" s="20" t="s">
        <v>97</v>
      </c>
      <c r="J5" s="20" t="s">
        <v>98</v>
      </c>
      <c r="K5" s="20" t="s">
        <v>99</v>
      </c>
      <c r="L5" s="20" t="s">
        <v>100</v>
      </c>
      <c r="M5" s="20" t="str">
        <f>IF(Config!$B$2&lt;F5,"Pendiente",IF(Config!$B$2&gt;G5,"Debería estar terminado","En desarrollo según plan"))</f>
        <v>En desarrollo según plan</v>
      </c>
      <c r="N5" s="24" t="s">
        <v>61</v>
      </c>
      <c r="O5" s="25">
        <v>1.0</v>
      </c>
      <c r="P5" s="26"/>
    </row>
    <row r="6" ht="13.5" customHeight="1">
      <c r="A6" s="19" t="s">
        <v>104</v>
      </c>
      <c r="B6" s="20" t="s">
        <v>105</v>
      </c>
      <c r="C6" s="20" t="s">
        <v>43</v>
      </c>
      <c r="D6" s="20" t="s">
        <v>46</v>
      </c>
      <c r="E6" s="20" t="s">
        <v>95</v>
      </c>
      <c r="F6" s="20">
        <v>7.0</v>
      </c>
      <c r="G6" s="20">
        <v>8.0</v>
      </c>
      <c r="H6" s="20" t="s">
        <v>106</v>
      </c>
      <c r="I6" s="20" t="s">
        <v>107</v>
      </c>
      <c r="J6" s="20" t="s">
        <v>108</v>
      </c>
      <c r="K6" s="20" t="s">
        <v>109</v>
      </c>
      <c r="L6" s="20" t="s">
        <v>110</v>
      </c>
      <c r="M6" s="20" t="str">
        <f>IF(Config!$B$2&lt;F6,"Pendiente",IF(Config!$B$2&gt;G6,"Debería estar terminado","En desarrollo según plan"))</f>
        <v>En desarrollo según plan</v>
      </c>
      <c r="N6" s="24" t="s">
        <v>61</v>
      </c>
      <c r="O6" s="17">
        <v>1.0</v>
      </c>
      <c r="P6" s="26"/>
    </row>
    <row r="7" ht="13.5" customHeight="1">
      <c r="A7" s="19" t="s">
        <v>111</v>
      </c>
      <c r="B7" s="20" t="s">
        <v>112</v>
      </c>
      <c r="C7" s="20" t="s">
        <v>43</v>
      </c>
      <c r="D7" s="20" t="s">
        <v>113</v>
      </c>
      <c r="E7" s="20" t="s">
        <v>95</v>
      </c>
      <c r="F7" s="20">
        <v>7.0</v>
      </c>
      <c r="G7" s="20">
        <v>8.0</v>
      </c>
      <c r="H7" s="20" t="s">
        <v>114</v>
      </c>
      <c r="I7" s="20" t="s">
        <v>115</v>
      </c>
      <c r="J7" s="20" t="s">
        <v>116</v>
      </c>
      <c r="K7" s="20" t="s">
        <v>117</v>
      </c>
      <c r="L7" s="20" t="s">
        <v>118</v>
      </c>
      <c r="M7" s="20" t="str">
        <f>IF(Config!$B$2&lt;F7,"Pendiente",IF(Config!$B$2&gt;G7,"Debería estar terminado","En desarrollo según plan"))</f>
        <v>En desarrollo según plan</v>
      </c>
      <c r="N7" s="24" t="s">
        <v>61</v>
      </c>
      <c r="O7" s="25">
        <v>1.0</v>
      </c>
      <c r="P7" s="26"/>
    </row>
    <row r="8" ht="13.5" customHeight="1">
      <c r="A8" s="19" t="s">
        <v>123</v>
      </c>
      <c r="B8" s="20" t="s">
        <v>124</v>
      </c>
      <c r="C8" s="20" t="s">
        <v>43</v>
      </c>
      <c r="D8" s="20" t="s">
        <v>113</v>
      </c>
      <c r="E8" s="20" t="s">
        <v>119</v>
      </c>
      <c r="F8" s="20">
        <v>8.0</v>
      </c>
      <c r="G8" s="20">
        <v>9.0</v>
      </c>
      <c r="H8" s="20" t="s">
        <v>125</v>
      </c>
      <c r="I8" s="20" t="s">
        <v>126</v>
      </c>
      <c r="J8" s="20" t="s">
        <v>127</v>
      </c>
      <c r="K8" s="20" t="s">
        <v>128</v>
      </c>
      <c r="L8" s="20" t="s">
        <v>129</v>
      </c>
      <c r="M8" s="20" t="str">
        <f>IF(Config!$B$2&lt;F8,"Pendiente",IF(Config!$B$2&gt;G8,"Debería estar terminado","En desarrollo según plan"))</f>
        <v>En desarrollo según plan</v>
      </c>
      <c r="N8" s="24" t="s">
        <v>61</v>
      </c>
      <c r="O8" s="25">
        <v>1.0</v>
      </c>
      <c r="P8" s="26"/>
    </row>
    <row r="9" ht="13.5" customHeight="1">
      <c r="A9" s="19" t="s">
        <v>130</v>
      </c>
      <c r="B9" s="20" t="s">
        <v>131</v>
      </c>
      <c r="C9" s="20" t="s">
        <v>43</v>
      </c>
      <c r="D9" s="20" t="s">
        <v>132</v>
      </c>
      <c r="E9" s="20" t="s">
        <v>119</v>
      </c>
      <c r="F9" s="20">
        <v>8.0</v>
      </c>
      <c r="G9" s="20">
        <v>9.0</v>
      </c>
      <c r="H9" s="20" t="s">
        <v>133</v>
      </c>
      <c r="I9" s="20" t="s">
        <v>134</v>
      </c>
      <c r="J9" s="20" t="s">
        <v>135</v>
      </c>
      <c r="K9" s="20" t="s">
        <v>136</v>
      </c>
      <c r="L9" s="20" t="s">
        <v>137</v>
      </c>
      <c r="M9" s="20" t="str">
        <f>IF(Config!$B$2&lt;F9,"Pendiente",IF(Config!$B$2&gt;G9,"Debería estar terminado","En desarrollo según plan"))</f>
        <v>En desarrollo según plan</v>
      </c>
      <c r="N9" s="24" t="s">
        <v>58</v>
      </c>
      <c r="O9" s="25">
        <v>0.9</v>
      </c>
      <c r="P9" s="26"/>
    </row>
    <row r="10" ht="13.5" customHeight="1">
      <c r="A10" s="19" t="s">
        <v>141</v>
      </c>
      <c r="B10" s="20" t="s">
        <v>142</v>
      </c>
      <c r="C10" s="20" t="s">
        <v>43</v>
      </c>
      <c r="D10" s="20" t="s">
        <v>46</v>
      </c>
      <c r="E10" s="20" t="s">
        <v>119</v>
      </c>
      <c r="F10" s="20">
        <v>8.0</v>
      </c>
      <c r="G10" s="20">
        <v>9.0</v>
      </c>
      <c r="H10" s="20" t="s">
        <v>143</v>
      </c>
      <c r="I10" s="20" t="s">
        <v>144</v>
      </c>
      <c r="J10" s="20" t="s">
        <v>145</v>
      </c>
      <c r="K10" s="20" t="s">
        <v>146</v>
      </c>
      <c r="L10" s="20" t="s">
        <v>147</v>
      </c>
      <c r="M10" s="20" t="str">
        <f>IF(Config!$B$2&lt;F10,"Pendiente",IF(Config!$B$2&gt;G10,"Debería estar terminado","En desarrollo según plan"))</f>
        <v>En desarrollo según plan</v>
      </c>
      <c r="N10" s="24" t="s">
        <v>58</v>
      </c>
      <c r="O10" s="25">
        <v>0.6</v>
      </c>
      <c r="P10" s="26"/>
    </row>
    <row r="11" ht="13.5" customHeight="1">
      <c r="A11" s="19" t="s">
        <v>148</v>
      </c>
      <c r="B11" s="20" t="s">
        <v>149</v>
      </c>
      <c r="C11" s="20" t="s">
        <v>43</v>
      </c>
      <c r="D11" s="20" t="s">
        <v>77</v>
      </c>
      <c r="E11" s="20" t="s">
        <v>119</v>
      </c>
      <c r="F11" s="20">
        <v>8.0</v>
      </c>
      <c r="G11" s="20">
        <v>9.0</v>
      </c>
      <c r="H11" s="20" t="s">
        <v>150</v>
      </c>
      <c r="I11" s="20" t="s">
        <v>151</v>
      </c>
      <c r="J11" s="20" t="s">
        <v>152</v>
      </c>
      <c r="K11" s="20" t="s">
        <v>146</v>
      </c>
      <c r="L11" s="20" t="s">
        <v>153</v>
      </c>
      <c r="M11" s="20" t="str">
        <f>IF(Config!$B$2&lt;F11,"Pendiente",IF(Config!$B$2&gt;G11,"Debería estar terminado","En desarrollo según plan"))</f>
        <v>En desarrollo según plan</v>
      </c>
      <c r="N11" s="24" t="s">
        <v>58</v>
      </c>
      <c r="O11" s="25">
        <v>0.2</v>
      </c>
      <c r="P11" s="26"/>
    </row>
    <row r="12" ht="13.5" customHeight="1">
      <c r="A12" s="19" t="s">
        <v>161</v>
      </c>
      <c r="B12" s="20" t="s">
        <v>162</v>
      </c>
      <c r="C12" s="20" t="s">
        <v>43</v>
      </c>
      <c r="D12" s="20" t="s">
        <v>164</v>
      </c>
      <c r="E12" s="20" t="s">
        <v>138</v>
      </c>
      <c r="F12" s="20">
        <v>8.0</v>
      </c>
      <c r="G12" s="20">
        <v>9.0</v>
      </c>
      <c r="H12" s="20" t="s">
        <v>165</v>
      </c>
      <c r="I12" s="20" t="s">
        <v>166</v>
      </c>
      <c r="J12" s="20" t="s">
        <v>167</v>
      </c>
      <c r="K12" s="20" t="s">
        <v>168</v>
      </c>
      <c r="L12" s="20" t="s">
        <v>169</v>
      </c>
      <c r="M12" s="20" t="str">
        <f>IF(Config!$B$2&lt;F12,"Pendiente",IF(Config!$B$2&gt;G12,"Debería estar terminado","En desarrollo según plan"))</f>
        <v>En desarrollo según plan</v>
      </c>
      <c r="N12" s="20" t="s">
        <v>170</v>
      </c>
      <c r="O12" s="27">
        <v>0.0</v>
      </c>
      <c r="P12" s="26"/>
    </row>
    <row r="13" ht="13.5" customHeight="1">
      <c r="A13" s="19" t="s">
        <v>171</v>
      </c>
      <c r="B13" s="20" t="s">
        <v>172</v>
      </c>
      <c r="C13" s="20" t="s">
        <v>43</v>
      </c>
      <c r="D13" s="20" t="s">
        <v>164</v>
      </c>
      <c r="E13" s="20" t="s">
        <v>138</v>
      </c>
      <c r="F13" s="20">
        <v>9.0</v>
      </c>
      <c r="G13" s="20">
        <v>10.0</v>
      </c>
      <c r="H13" s="20" t="s">
        <v>173</v>
      </c>
      <c r="I13" s="20" t="s">
        <v>175</v>
      </c>
      <c r="J13" s="20" t="s">
        <v>177</v>
      </c>
      <c r="K13" s="20" t="s">
        <v>178</v>
      </c>
      <c r="L13" s="20" t="s">
        <v>179</v>
      </c>
      <c r="M13" s="20" t="str">
        <f>IF(Config!$B$2&lt;F13,"Pendiente",IF(Config!$B$2&gt;G13,"Debería estar terminado","En desarrollo según plan"))</f>
        <v>Pendiente</v>
      </c>
      <c r="N13" s="20" t="s">
        <v>170</v>
      </c>
      <c r="O13" s="27">
        <v>0.0</v>
      </c>
      <c r="P13" s="26"/>
    </row>
    <row r="14" ht="13.5" customHeight="1">
      <c r="A14" s="19" t="s">
        <v>183</v>
      </c>
      <c r="B14" s="20" t="s">
        <v>184</v>
      </c>
      <c r="C14" s="20" t="s">
        <v>43</v>
      </c>
      <c r="D14" s="20" t="s">
        <v>164</v>
      </c>
      <c r="E14" s="20" t="s">
        <v>138</v>
      </c>
      <c r="F14" s="20">
        <v>9.0</v>
      </c>
      <c r="G14" s="20">
        <v>10.0</v>
      </c>
      <c r="H14" s="20" t="s">
        <v>185</v>
      </c>
      <c r="I14" s="20" t="s">
        <v>188</v>
      </c>
      <c r="J14" s="20" t="s">
        <v>190</v>
      </c>
      <c r="K14" s="20" t="s">
        <v>192</v>
      </c>
      <c r="L14" s="20" t="s">
        <v>195</v>
      </c>
      <c r="M14" s="20" t="str">
        <f>IF(Config!$B$2&lt;F14,"Pendiente",IF(Config!$B$2&gt;G14,"Debería estar terminado","En desarrollo según plan"))</f>
        <v>Pendiente</v>
      </c>
      <c r="N14" s="20" t="s">
        <v>170</v>
      </c>
      <c r="O14" s="27">
        <v>0.0</v>
      </c>
      <c r="P14" s="26"/>
    </row>
    <row r="15" ht="13.5" customHeight="1">
      <c r="A15" s="19" t="s">
        <v>198</v>
      </c>
      <c r="B15" s="20" t="s">
        <v>199</v>
      </c>
      <c r="C15" s="20" t="s">
        <v>43</v>
      </c>
      <c r="D15" s="20" t="s">
        <v>164</v>
      </c>
      <c r="E15" s="20" t="s">
        <v>138</v>
      </c>
      <c r="F15" s="20">
        <v>10.0</v>
      </c>
      <c r="G15" s="20">
        <v>10.0</v>
      </c>
      <c r="H15" s="20" t="s">
        <v>200</v>
      </c>
      <c r="I15" s="20" t="s">
        <v>201</v>
      </c>
      <c r="J15" s="20" t="s">
        <v>202</v>
      </c>
      <c r="K15" s="20" t="s">
        <v>203</v>
      </c>
      <c r="L15" s="20" t="s">
        <v>204</v>
      </c>
      <c r="M15" s="20" t="str">
        <f>IF(Config!$B$2&lt;F15,"Pendiente",IF(Config!$B$2&gt;G15,"Debería estar terminado","En desarrollo según plan"))</f>
        <v>Pendiente</v>
      </c>
      <c r="N15" s="20" t="s">
        <v>170</v>
      </c>
      <c r="O15" s="27">
        <v>0.0</v>
      </c>
      <c r="P15" s="26"/>
    </row>
    <row r="16" ht="13.5" customHeight="1">
      <c r="A16" s="19" t="s">
        <v>205</v>
      </c>
      <c r="B16" s="20" t="s">
        <v>206</v>
      </c>
      <c r="C16" s="20" t="s">
        <v>43</v>
      </c>
      <c r="D16" s="20" t="s">
        <v>164</v>
      </c>
      <c r="E16" s="20" t="s">
        <v>154</v>
      </c>
      <c r="F16" s="20">
        <v>10.0</v>
      </c>
      <c r="G16" s="20">
        <v>11.0</v>
      </c>
      <c r="H16" s="20" t="s">
        <v>209</v>
      </c>
      <c r="I16" s="20" t="s">
        <v>210</v>
      </c>
      <c r="J16" s="20" t="s">
        <v>212</v>
      </c>
      <c r="K16" s="20" t="s">
        <v>213</v>
      </c>
      <c r="L16" s="20" t="s">
        <v>214</v>
      </c>
      <c r="M16" s="20" t="str">
        <f>IF(Config!$B$2&lt;F16,"Pendiente",IF(Config!$B$2&gt;G16,"Debería estar terminado","En desarrollo según plan"))</f>
        <v>Pendiente</v>
      </c>
      <c r="N16" s="20" t="s">
        <v>170</v>
      </c>
      <c r="O16" s="27">
        <v>0.0</v>
      </c>
      <c r="P16" s="26"/>
    </row>
    <row r="17" ht="13.5" customHeight="1">
      <c r="A17" s="19" t="s">
        <v>220</v>
      </c>
      <c r="B17" s="20" t="s">
        <v>221</v>
      </c>
      <c r="C17" s="20" t="s">
        <v>43</v>
      </c>
      <c r="D17" s="20" t="s">
        <v>164</v>
      </c>
      <c r="E17" s="20" t="s">
        <v>154</v>
      </c>
      <c r="F17" s="20">
        <v>10.0</v>
      </c>
      <c r="G17" s="20">
        <v>11.0</v>
      </c>
      <c r="H17" s="20" t="s">
        <v>222</v>
      </c>
      <c r="I17" s="20" t="s">
        <v>223</v>
      </c>
      <c r="J17" s="20" t="s">
        <v>224</v>
      </c>
      <c r="K17" s="20" t="s">
        <v>225</v>
      </c>
      <c r="L17" s="20" t="s">
        <v>226</v>
      </c>
      <c r="M17" s="20" t="str">
        <f>IF(Config!$B$2&lt;F17,"Pendiente",IF(Config!$B$2&gt;G17,"Debería estar terminado","En desarrollo según plan"))</f>
        <v>Pendiente</v>
      </c>
      <c r="N17" s="20" t="s">
        <v>170</v>
      </c>
      <c r="O17" s="27">
        <v>0.0</v>
      </c>
      <c r="P17" s="26"/>
    </row>
    <row r="18" ht="13.5" customHeight="1">
      <c r="A18" s="19" t="s">
        <v>227</v>
      </c>
      <c r="B18" s="20" t="s">
        <v>228</v>
      </c>
      <c r="C18" s="20" t="s">
        <v>43</v>
      </c>
      <c r="D18" s="20" t="s">
        <v>164</v>
      </c>
      <c r="E18" s="20" t="s">
        <v>174</v>
      </c>
      <c r="F18" s="20">
        <v>10.0</v>
      </c>
      <c r="G18" s="20">
        <v>12.0</v>
      </c>
      <c r="H18" s="20" t="s">
        <v>229</v>
      </c>
      <c r="I18" s="20" t="s">
        <v>230</v>
      </c>
      <c r="J18" s="20" t="s">
        <v>231</v>
      </c>
      <c r="K18" s="20" t="s">
        <v>232</v>
      </c>
      <c r="L18" s="20" t="s">
        <v>233</v>
      </c>
      <c r="M18" s="20" t="str">
        <f>IF(Config!$B$2&lt;F18,"Pendiente",IF(Config!$B$2&gt;G18,"Debería estar terminado","En desarrollo según plan"))</f>
        <v>Pendiente</v>
      </c>
      <c r="N18" s="24" t="s">
        <v>58</v>
      </c>
      <c r="O18" s="25">
        <v>0.1</v>
      </c>
      <c r="P18" s="26"/>
    </row>
    <row r="19" ht="13.5" customHeight="1">
      <c r="A19" s="19" t="s">
        <v>240</v>
      </c>
      <c r="B19" s="20" t="s">
        <v>241</v>
      </c>
      <c r="C19" s="20" t="s">
        <v>43</v>
      </c>
      <c r="D19" s="20" t="s">
        <v>164</v>
      </c>
      <c r="E19" s="20" t="s">
        <v>174</v>
      </c>
      <c r="F19" s="20">
        <v>11.0</v>
      </c>
      <c r="G19" s="20">
        <v>12.0</v>
      </c>
      <c r="H19" s="20" t="s">
        <v>244</v>
      </c>
      <c r="I19" s="20" t="s">
        <v>245</v>
      </c>
      <c r="J19" s="20" t="s">
        <v>246</v>
      </c>
      <c r="K19" s="20" t="s">
        <v>247</v>
      </c>
      <c r="L19" s="20" t="s">
        <v>248</v>
      </c>
      <c r="M19" s="20" t="str">
        <f>IF(Config!$B$2&lt;F19,"Pendiente",IF(Config!$B$2&gt;G19,"Debería estar terminado","En desarrollo según plan"))</f>
        <v>Pendiente</v>
      </c>
      <c r="N19" s="20" t="s">
        <v>170</v>
      </c>
      <c r="O19" s="27">
        <v>0.0</v>
      </c>
      <c r="P19" s="26"/>
    </row>
    <row r="20" ht="13.5" customHeight="1">
      <c r="A20" s="19" t="s">
        <v>249</v>
      </c>
      <c r="B20" s="20" t="s">
        <v>250</v>
      </c>
      <c r="C20" s="20" t="s">
        <v>43</v>
      </c>
      <c r="D20" s="20" t="s">
        <v>164</v>
      </c>
      <c r="E20" s="20" t="s">
        <v>174</v>
      </c>
      <c r="F20" s="20">
        <v>12.0</v>
      </c>
      <c r="G20" s="20">
        <v>12.0</v>
      </c>
      <c r="H20" s="20" t="s">
        <v>251</v>
      </c>
      <c r="I20" s="20" t="s">
        <v>252</v>
      </c>
      <c r="J20" s="20" t="s">
        <v>253</v>
      </c>
      <c r="K20" s="20" t="s">
        <v>254</v>
      </c>
      <c r="L20" s="20" t="s">
        <v>255</v>
      </c>
      <c r="M20" s="20" t="str">
        <f>IF(Config!$B$2&lt;F20,"Pendiente",IF(Config!$B$2&gt;G20,"Debería estar terminado","En desarrollo según plan"))</f>
        <v>Pendiente</v>
      </c>
      <c r="N20" s="20" t="s">
        <v>170</v>
      </c>
      <c r="O20" s="27">
        <v>0.0</v>
      </c>
      <c r="P20" s="26"/>
    </row>
    <row r="21" ht="13.5" customHeight="1">
      <c r="A21" s="36" t="s">
        <v>257</v>
      </c>
      <c r="B21" s="37" t="s">
        <v>261</v>
      </c>
      <c r="C21" s="37" t="s">
        <v>43</v>
      </c>
      <c r="D21" s="37" t="s">
        <v>164</v>
      </c>
      <c r="E21" s="37" t="s">
        <v>186</v>
      </c>
      <c r="F21" s="37">
        <v>13.0</v>
      </c>
      <c r="G21" s="37">
        <v>14.0</v>
      </c>
      <c r="H21" s="37" t="s">
        <v>262</v>
      </c>
      <c r="I21" s="37" t="s">
        <v>263</v>
      </c>
      <c r="J21" s="37" t="s">
        <v>264</v>
      </c>
      <c r="K21" s="37" t="s">
        <v>265</v>
      </c>
      <c r="L21" s="37" t="s">
        <v>266</v>
      </c>
      <c r="M21" s="37" t="str">
        <f>IF(Config!$B$2&lt;F21,"Pendiente",IF(Config!$B$2&gt;G21,"Debería estar terminado","En desarrollo según plan"))</f>
        <v>Pendiente</v>
      </c>
      <c r="N21" s="37" t="s">
        <v>170</v>
      </c>
      <c r="O21" s="38">
        <v>0.0</v>
      </c>
      <c r="P21" s="40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N2:N21">
    <cfRule type="expression" dxfId="0" priority="1">
      <formula>N2="Bloqueado"</formula>
    </cfRule>
  </conditionalFormatting>
  <conditionalFormatting sqref="N2:N21">
    <cfRule type="expression" dxfId="1" priority="2">
      <formula>N2="Terminado"</formula>
    </cfRule>
  </conditionalFormatting>
  <dataValidations>
    <dataValidation type="list" allowBlank="1" sqref="N2:N21">
      <formula1>"Por actualizar,No iniciado,En desarrollo,En pruebas,Terminado,Bloqueado"</formula1>
    </dataValidation>
    <dataValidation type="decimal" allowBlank="1" sqref="O2:O21">
      <formula1>0.0</formula1>
      <formula2>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23.25"/>
    <col customWidth="1" min="3" max="3" width="12.75"/>
    <col customWidth="1" min="4" max="4" width="42.63"/>
    <col customWidth="1" min="5" max="5" width="5.13"/>
    <col customWidth="1" min="6" max="6" width="3.25"/>
    <col customWidth="1" min="7" max="7" width="11.75"/>
    <col customWidth="1" min="8" max="8" width="25.63"/>
    <col customWidth="1" min="9" max="17" width="2.75"/>
    <col customWidth="1" min="18" max="24" width="3.75"/>
    <col customWidth="1" min="25" max="25" width="11.75"/>
    <col customWidth="1" min="26" max="26" width="11.38"/>
  </cols>
  <sheetData>
    <row r="1">
      <c r="A1" s="1" t="s">
        <v>3</v>
      </c>
      <c r="B1" s="2" t="s">
        <v>4</v>
      </c>
      <c r="C1" s="2" t="s">
        <v>11</v>
      </c>
      <c r="D1" s="2" t="s">
        <v>14</v>
      </c>
      <c r="E1" s="2" t="s">
        <v>17</v>
      </c>
      <c r="F1" s="2" t="s">
        <v>21</v>
      </c>
      <c r="G1" s="2" t="s">
        <v>22</v>
      </c>
      <c r="H1" s="2" t="s">
        <v>26</v>
      </c>
      <c r="I1" s="6" t="s">
        <v>29</v>
      </c>
      <c r="J1" s="6" t="s">
        <v>35</v>
      </c>
      <c r="K1" s="6" t="s">
        <v>36</v>
      </c>
      <c r="L1" s="6" t="s">
        <v>37</v>
      </c>
      <c r="M1" s="6" t="s">
        <v>39</v>
      </c>
      <c r="N1" s="6" t="s">
        <v>40</v>
      </c>
      <c r="O1" s="6" t="s">
        <v>42</v>
      </c>
      <c r="P1" s="6" t="s">
        <v>45</v>
      </c>
      <c r="Q1" s="6" t="s">
        <v>50</v>
      </c>
      <c r="R1" s="11" t="s">
        <v>52</v>
      </c>
      <c r="S1" s="12" t="s">
        <v>62</v>
      </c>
      <c r="T1" s="12" t="s">
        <v>64</v>
      </c>
      <c r="U1" s="12" t="s">
        <v>65</v>
      </c>
      <c r="V1" s="12" t="s">
        <v>66</v>
      </c>
      <c r="W1" s="11" t="s">
        <v>67</v>
      </c>
      <c r="X1" s="13" t="s">
        <v>68</v>
      </c>
      <c r="Y1" s="14" t="s">
        <v>69</v>
      </c>
      <c r="Z1" s="15" t="s">
        <v>70</v>
      </c>
    </row>
    <row r="2">
      <c r="A2" s="7" t="s">
        <v>71</v>
      </c>
      <c r="B2" s="8" t="s">
        <v>34</v>
      </c>
      <c r="C2" s="8" t="s">
        <v>72</v>
      </c>
      <c r="D2" s="8" t="s">
        <v>73</v>
      </c>
      <c r="E2" s="8">
        <v>1.0</v>
      </c>
      <c r="F2" s="16">
        <v>2.0</v>
      </c>
      <c r="G2" s="8" t="s">
        <v>47</v>
      </c>
      <c r="H2" s="8" t="s">
        <v>74</v>
      </c>
      <c r="I2" s="21" t="str">
        <f t="shared" ref="I2:I49" si="1">IF(AND(1&gt;=$E2,1&lt;=$F2),"●","")</f>
        <v>●</v>
      </c>
      <c r="J2" s="21" t="str">
        <f t="shared" ref="J2:J49" si="2">IF(AND(2&gt;=$E2,2&lt;=$F2),"●","")</f>
        <v>●</v>
      </c>
      <c r="K2" s="21" t="str">
        <f t="shared" ref="K2:K49" si="3">IF(AND(3&gt;=$E2,3&lt;=$F2),"●","")</f>
        <v/>
      </c>
      <c r="L2" s="21" t="str">
        <f t="shared" ref="L2:L49" si="4">IF(AND(4&gt;=$E2,4&lt;=$F2),"●","")</f>
        <v/>
      </c>
      <c r="M2" s="21" t="str">
        <f t="shared" ref="M2:M49" si="5">IF(AND(5&gt;=$E2,5&lt;=$F2),"●","")</f>
        <v/>
      </c>
      <c r="N2" s="21" t="str">
        <f t="shared" ref="N2:N49" si="6">IF(AND(6&gt;=$E2,6&lt;=$F2),"●","")</f>
        <v/>
      </c>
      <c r="O2" s="21" t="str">
        <f t="shared" ref="O2:O49" si="7">IF(AND(7&gt;=$E2,7&lt;=$F2),"●","")</f>
        <v/>
      </c>
      <c r="P2" s="21" t="str">
        <f t="shared" ref="P2:P49" si="8">IF(AND(8&gt;=$E2,8&lt;=$F2),"●","")</f>
        <v/>
      </c>
      <c r="Q2" s="21" t="str">
        <f t="shared" ref="Q2:Q49" si="9">IF(AND(9&gt;=$E2,9&lt;=$F2),"●","")</f>
        <v/>
      </c>
      <c r="R2" s="21" t="str">
        <f t="shared" ref="R2:R49" si="10">IF(AND(10&gt;=$E2,10&lt;=$F2),"●","")</f>
        <v/>
      </c>
      <c r="S2" s="21" t="str">
        <f t="shared" ref="S2:S49" si="11">IF(AND(11&gt;=$E2,11&lt;=$F2),"●","")</f>
        <v/>
      </c>
      <c r="T2" s="21" t="str">
        <f t="shared" ref="T2:T49" si="12">IF(AND(12&gt;=$E2,12&lt;=$F2),"●","")</f>
        <v/>
      </c>
      <c r="U2" s="21" t="str">
        <f t="shared" ref="U2:U49" si="13">IF(AND(13&gt;=$E2,13&lt;=$F2),"●","")</f>
        <v/>
      </c>
      <c r="V2" s="21" t="str">
        <f t="shared" ref="V2:V49" si="14">IF(AND(14&gt;=$E2,14&lt;=$F2),"●","")</f>
        <v/>
      </c>
      <c r="W2" s="21" t="str">
        <f t="shared" ref="W2:W49" si="15">IF(AND(15&gt;=$E2,15&lt;=$F2),"●","")</f>
        <v/>
      </c>
      <c r="X2" s="30" t="str">
        <f t="shared" ref="X2:X49" si="16">IF(AND(16&gt;=$E2,16&lt;=$F2),"●","")</f>
        <v/>
      </c>
      <c r="Y2" s="31" t="str">
        <f>IF($Z2&gt;=1,"Completado",IF(AND($Z2&lt;1,Config!$B$2&gt;$F2),"Atrasado",IF($Z2&gt;0,"En proceso",IF(Config!$B$2&lt;$E2,"No iniciado","En proceso"))))</f>
        <v>Completado</v>
      </c>
      <c r="Z2" s="32">
        <v>1.0</v>
      </c>
    </row>
    <row r="3">
      <c r="A3" s="19" t="s">
        <v>158</v>
      </c>
      <c r="B3" s="20" t="s">
        <v>34</v>
      </c>
      <c r="C3" s="20" t="s">
        <v>159</v>
      </c>
      <c r="D3" s="20" t="s">
        <v>160</v>
      </c>
      <c r="E3" s="20">
        <v>2.0</v>
      </c>
      <c r="F3" s="20">
        <v>3.0</v>
      </c>
      <c r="G3" s="20" t="s">
        <v>47</v>
      </c>
      <c r="H3" s="20" t="s">
        <v>163</v>
      </c>
      <c r="I3" s="33" t="str">
        <f t="shared" si="1"/>
        <v/>
      </c>
      <c r="J3" s="33" t="str">
        <f t="shared" si="2"/>
        <v>●</v>
      </c>
      <c r="K3" s="33" t="str">
        <f t="shared" si="3"/>
        <v>●</v>
      </c>
      <c r="L3" s="33" t="str">
        <f t="shared" si="4"/>
        <v/>
      </c>
      <c r="M3" s="33" t="str">
        <f t="shared" si="5"/>
        <v/>
      </c>
      <c r="N3" s="33" t="str">
        <f t="shared" si="6"/>
        <v/>
      </c>
      <c r="O3" s="33" t="str">
        <f t="shared" si="7"/>
        <v/>
      </c>
      <c r="P3" s="33" t="str">
        <f t="shared" si="8"/>
        <v/>
      </c>
      <c r="Q3" s="33" t="str">
        <f t="shared" si="9"/>
        <v/>
      </c>
      <c r="R3" s="33" t="str">
        <f t="shared" si="10"/>
        <v/>
      </c>
      <c r="S3" s="33" t="str">
        <f t="shared" si="11"/>
        <v/>
      </c>
      <c r="T3" s="33" t="str">
        <f t="shared" si="12"/>
        <v/>
      </c>
      <c r="U3" s="33" t="str">
        <f t="shared" si="13"/>
        <v/>
      </c>
      <c r="V3" s="33" t="str">
        <f t="shared" si="14"/>
        <v/>
      </c>
      <c r="W3" s="33" t="str">
        <f t="shared" si="15"/>
        <v/>
      </c>
      <c r="X3" s="34" t="str">
        <f t="shared" si="16"/>
        <v/>
      </c>
      <c r="Y3" s="31" t="str">
        <f>IF($Z3&gt;=1,"Completado",IF(AND($Z3&lt;1,Config!$B$2&gt;$F3),"Atrasado",IF($Z3&gt;0,"En proceso",IF(Config!$B$2&lt;$E3,"No iniciado","En proceso"))))</f>
        <v>Completado</v>
      </c>
      <c r="Z3" s="32">
        <v>1.0</v>
      </c>
    </row>
    <row r="4">
      <c r="A4" s="19" t="s">
        <v>187</v>
      </c>
      <c r="B4" s="20" t="s">
        <v>34</v>
      </c>
      <c r="C4" s="20" t="s">
        <v>191</v>
      </c>
      <c r="D4" s="20" t="s">
        <v>194</v>
      </c>
      <c r="E4" s="20">
        <v>3.0</v>
      </c>
      <c r="F4" s="20">
        <v>4.0</v>
      </c>
      <c r="G4" s="20" t="s">
        <v>196</v>
      </c>
      <c r="H4" s="20" t="s">
        <v>197</v>
      </c>
      <c r="I4" s="33" t="str">
        <f t="shared" si="1"/>
        <v/>
      </c>
      <c r="J4" s="33" t="str">
        <f t="shared" si="2"/>
        <v/>
      </c>
      <c r="K4" s="33" t="str">
        <f t="shared" si="3"/>
        <v>●</v>
      </c>
      <c r="L4" s="33" t="str">
        <f t="shared" si="4"/>
        <v>●</v>
      </c>
      <c r="M4" s="33" t="str">
        <f t="shared" si="5"/>
        <v/>
      </c>
      <c r="N4" s="33" t="str">
        <f t="shared" si="6"/>
        <v/>
      </c>
      <c r="O4" s="33" t="str">
        <f t="shared" si="7"/>
        <v/>
      </c>
      <c r="P4" s="33" t="str">
        <f t="shared" si="8"/>
        <v/>
      </c>
      <c r="Q4" s="33" t="str">
        <f t="shared" si="9"/>
        <v/>
      </c>
      <c r="R4" s="33" t="str">
        <f t="shared" si="10"/>
        <v/>
      </c>
      <c r="S4" s="33" t="str">
        <f t="shared" si="11"/>
        <v/>
      </c>
      <c r="T4" s="33" t="str">
        <f t="shared" si="12"/>
        <v/>
      </c>
      <c r="U4" s="33" t="str">
        <f t="shared" si="13"/>
        <v/>
      </c>
      <c r="V4" s="33" t="str">
        <f t="shared" si="14"/>
        <v/>
      </c>
      <c r="W4" s="33" t="str">
        <f t="shared" si="15"/>
        <v/>
      </c>
      <c r="X4" s="34" t="str">
        <f t="shared" si="16"/>
        <v/>
      </c>
      <c r="Y4" s="31" t="str">
        <f>IF($Z4&gt;=1,"Completado",IF(AND($Z4&lt;1,Config!$B$2&gt;$F4),"Atrasado",IF($Z4&gt;0,"En proceso",IF(Config!$B$2&lt;$E4,"No iniciado","En proceso"))))</f>
        <v>Completado</v>
      </c>
      <c r="Z4" s="32">
        <v>1.0</v>
      </c>
    </row>
    <row r="5">
      <c r="A5" s="19" t="s">
        <v>215</v>
      </c>
      <c r="B5" s="20" t="s">
        <v>34</v>
      </c>
      <c r="C5" s="20" t="s">
        <v>216</v>
      </c>
      <c r="D5" s="20" t="s">
        <v>217</v>
      </c>
      <c r="E5" s="20">
        <v>4.0</v>
      </c>
      <c r="F5" s="20">
        <v>5.0</v>
      </c>
      <c r="G5" s="20" t="s">
        <v>218</v>
      </c>
      <c r="H5" s="20" t="s">
        <v>219</v>
      </c>
      <c r="I5" s="33" t="str">
        <f t="shared" si="1"/>
        <v/>
      </c>
      <c r="J5" s="33" t="str">
        <f t="shared" si="2"/>
        <v/>
      </c>
      <c r="K5" s="33" t="str">
        <f t="shared" si="3"/>
        <v/>
      </c>
      <c r="L5" s="33" t="str">
        <f t="shared" si="4"/>
        <v>●</v>
      </c>
      <c r="M5" s="33" t="str">
        <f t="shared" si="5"/>
        <v>●</v>
      </c>
      <c r="N5" s="33" t="str">
        <f t="shared" si="6"/>
        <v/>
      </c>
      <c r="O5" s="33" t="str">
        <f t="shared" si="7"/>
        <v/>
      </c>
      <c r="P5" s="33" t="str">
        <f t="shared" si="8"/>
        <v/>
      </c>
      <c r="Q5" s="33" t="str">
        <f t="shared" si="9"/>
        <v/>
      </c>
      <c r="R5" s="33" t="str">
        <f t="shared" si="10"/>
        <v/>
      </c>
      <c r="S5" s="33" t="str">
        <f t="shared" si="11"/>
        <v/>
      </c>
      <c r="T5" s="33" t="str">
        <f t="shared" si="12"/>
        <v/>
      </c>
      <c r="U5" s="33" t="str">
        <f t="shared" si="13"/>
        <v/>
      </c>
      <c r="V5" s="33" t="str">
        <f t="shared" si="14"/>
        <v/>
      </c>
      <c r="W5" s="33" t="str">
        <f t="shared" si="15"/>
        <v/>
      </c>
      <c r="X5" s="34" t="str">
        <f t="shared" si="16"/>
        <v/>
      </c>
      <c r="Y5" s="31" t="str">
        <f>IF($Z5&gt;=1,"Completado",IF(AND($Z5&lt;1,Config!$B$2&gt;$F5),"Atrasado",IF($Z5&gt;0,"En proceso",IF(Config!$B$2&lt;$E5,"No iniciado","En proceso"))))</f>
        <v>Completado</v>
      </c>
      <c r="Z5" s="32">
        <v>1.0</v>
      </c>
    </row>
    <row r="6">
      <c r="A6" s="19" t="s">
        <v>237</v>
      </c>
      <c r="B6" s="20" t="s">
        <v>34</v>
      </c>
      <c r="C6" s="20" t="s">
        <v>238</v>
      </c>
      <c r="D6" s="20" t="s">
        <v>239</v>
      </c>
      <c r="E6" s="20">
        <v>4.0</v>
      </c>
      <c r="F6" s="20">
        <v>5.0</v>
      </c>
      <c r="G6" s="20" t="s">
        <v>242</v>
      </c>
      <c r="H6" s="20" t="s">
        <v>243</v>
      </c>
      <c r="I6" s="33" t="str">
        <f t="shared" si="1"/>
        <v/>
      </c>
      <c r="J6" s="33" t="str">
        <f t="shared" si="2"/>
        <v/>
      </c>
      <c r="K6" s="33" t="str">
        <f t="shared" si="3"/>
        <v/>
      </c>
      <c r="L6" s="33" t="str">
        <f t="shared" si="4"/>
        <v>●</v>
      </c>
      <c r="M6" s="33" t="str">
        <f t="shared" si="5"/>
        <v>●</v>
      </c>
      <c r="N6" s="33" t="str">
        <f t="shared" si="6"/>
        <v/>
      </c>
      <c r="O6" s="33" t="str">
        <f t="shared" si="7"/>
        <v/>
      </c>
      <c r="P6" s="33" t="str">
        <f t="shared" si="8"/>
        <v/>
      </c>
      <c r="Q6" s="33" t="str">
        <f t="shared" si="9"/>
        <v/>
      </c>
      <c r="R6" s="33" t="str">
        <f t="shared" si="10"/>
        <v/>
      </c>
      <c r="S6" s="33" t="str">
        <f t="shared" si="11"/>
        <v/>
      </c>
      <c r="T6" s="33" t="str">
        <f t="shared" si="12"/>
        <v/>
      </c>
      <c r="U6" s="33" t="str">
        <f t="shared" si="13"/>
        <v/>
      </c>
      <c r="V6" s="33" t="str">
        <f t="shared" si="14"/>
        <v/>
      </c>
      <c r="W6" s="33" t="str">
        <f t="shared" si="15"/>
        <v/>
      </c>
      <c r="X6" s="34" t="str">
        <f t="shared" si="16"/>
        <v/>
      </c>
      <c r="Y6" s="31" t="str">
        <f>IF($Z6&gt;=1,"Completado",IF(AND($Z6&lt;1,Config!$B$2&gt;$F6),"Atrasado",IF($Z6&gt;0,"En proceso",IF(Config!$B$2&lt;$E6,"No iniciado","En proceso"))))</f>
        <v>Completado</v>
      </c>
      <c r="Z6" s="32">
        <v>1.0</v>
      </c>
    </row>
    <row r="7">
      <c r="A7" s="19" t="s">
        <v>256</v>
      </c>
      <c r="B7" s="20" t="s">
        <v>34</v>
      </c>
      <c r="C7" s="20" t="s">
        <v>258</v>
      </c>
      <c r="D7" s="20" t="s">
        <v>259</v>
      </c>
      <c r="E7" s="20">
        <v>5.0</v>
      </c>
      <c r="F7" s="20">
        <v>6.0</v>
      </c>
      <c r="G7" s="20" t="s">
        <v>122</v>
      </c>
      <c r="H7" s="20" t="s">
        <v>260</v>
      </c>
      <c r="I7" s="33" t="str">
        <f t="shared" si="1"/>
        <v/>
      </c>
      <c r="J7" s="33" t="str">
        <f t="shared" si="2"/>
        <v/>
      </c>
      <c r="K7" s="33" t="str">
        <f t="shared" si="3"/>
        <v/>
      </c>
      <c r="L7" s="33" t="str">
        <f t="shared" si="4"/>
        <v/>
      </c>
      <c r="M7" s="33" t="str">
        <f t="shared" si="5"/>
        <v>●</v>
      </c>
      <c r="N7" s="33" t="str">
        <f t="shared" si="6"/>
        <v>●</v>
      </c>
      <c r="O7" s="33" t="str">
        <f t="shared" si="7"/>
        <v/>
      </c>
      <c r="P7" s="33" t="str">
        <f t="shared" si="8"/>
        <v/>
      </c>
      <c r="Q7" s="33" t="str">
        <f t="shared" si="9"/>
        <v/>
      </c>
      <c r="R7" s="33" t="str">
        <f t="shared" si="10"/>
        <v/>
      </c>
      <c r="S7" s="33" t="str">
        <f t="shared" si="11"/>
        <v/>
      </c>
      <c r="T7" s="33" t="str">
        <f t="shared" si="12"/>
        <v/>
      </c>
      <c r="U7" s="33" t="str">
        <f t="shared" si="13"/>
        <v/>
      </c>
      <c r="V7" s="33" t="str">
        <f t="shared" si="14"/>
        <v/>
      </c>
      <c r="W7" s="33" t="str">
        <f t="shared" si="15"/>
        <v/>
      </c>
      <c r="X7" s="34" t="str">
        <f t="shared" si="16"/>
        <v/>
      </c>
      <c r="Y7" s="31" t="str">
        <f>IF($Z7&gt;=1,"Completado",IF(AND($Z7&lt;1,Config!$B$2&gt;$F7),"Atrasado",IF($Z7&gt;0,"En proceso",IF(Config!$B$2&lt;$E7,"No iniciado","En proceso"))))</f>
        <v>Completado</v>
      </c>
      <c r="Z7" s="32">
        <v>1.0</v>
      </c>
    </row>
    <row r="8">
      <c r="A8" s="19" t="s">
        <v>267</v>
      </c>
      <c r="B8" s="20" t="s">
        <v>48</v>
      </c>
      <c r="C8" s="20" t="s">
        <v>268</v>
      </c>
      <c r="D8" s="20" t="s">
        <v>269</v>
      </c>
      <c r="E8" s="20">
        <v>6.0</v>
      </c>
      <c r="F8" s="20">
        <v>6.0</v>
      </c>
      <c r="G8" s="20" t="s">
        <v>85</v>
      </c>
      <c r="H8" s="20" t="s">
        <v>270</v>
      </c>
      <c r="I8" s="33" t="str">
        <f t="shared" si="1"/>
        <v/>
      </c>
      <c r="J8" s="33" t="str">
        <f t="shared" si="2"/>
        <v/>
      </c>
      <c r="K8" s="33" t="str">
        <f t="shared" si="3"/>
        <v/>
      </c>
      <c r="L8" s="33" t="str">
        <f t="shared" si="4"/>
        <v/>
      </c>
      <c r="M8" s="33" t="str">
        <f t="shared" si="5"/>
        <v/>
      </c>
      <c r="N8" s="33" t="str">
        <f t="shared" si="6"/>
        <v>●</v>
      </c>
      <c r="O8" s="33" t="str">
        <f t="shared" si="7"/>
        <v/>
      </c>
      <c r="P8" s="33" t="str">
        <f t="shared" si="8"/>
        <v/>
      </c>
      <c r="Q8" s="33" t="str">
        <f t="shared" si="9"/>
        <v/>
      </c>
      <c r="R8" s="33" t="str">
        <f t="shared" si="10"/>
        <v/>
      </c>
      <c r="S8" s="33" t="str">
        <f t="shared" si="11"/>
        <v/>
      </c>
      <c r="T8" s="33" t="str">
        <f t="shared" si="12"/>
        <v/>
      </c>
      <c r="U8" s="33" t="str">
        <f t="shared" si="13"/>
        <v/>
      </c>
      <c r="V8" s="33" t="str">
        <f t="shared" si="14"/>
        <v/>
      </c>
      <c r="W8" s="33" t="str">
        <f t="shared" si="15"/>
        <v/>
      </c>
      <c r="X8" s="34" t="str">
        <f t="shared" si="16"/>
        <v/>
      </c>
      <c r="Y8" s="31" t="str">
        <f>IF($Z8&gt;=1,"Completado",IF(AND($Z8&lt;1,Config!$B$2&gt;$F8),"Atrasado",IF($Z8&gt;0,"En proceso",IF(Config!$B$2&lt;$E8,"No iniciado","En proceso"))))</f>
        <v>Completado</v>
      </c>
      <c r="Z8" s="32">
        <v>1.0</v>
      </c>
    </row>
    <row r="9">
      <c r="A9" s="19" t="s">
        <v>271</v>
      </c>
      <c r="B9" s="20" t="s">
        <v>48</v>
      </c>
      <c r="C9" s="20" t="s">
        <v>272</v>
      </c>
      <c r="D9" s="20" t="s">
        <v>273</v>
      </c>
      <c r="E9" s="20">
        <v>6.0</v>
      </c>
      <c r="F9" s="20">
        <v>6.0</v>
      </c>
      <c r="G9" s="20" t="s">
        <v>242</v>
      </c>
      <c r="H9" s="20" t="s">
        <v>274</v>
      </c>
      <c r="I9" s="33" t="str">
        <f t="shared" si="1"/>
        <v/>
      </c>
      <c r="J9" s="33" t="str">
        <f t="shared" si="2"/>
        <v/>
      </c>
      <c r="K9" s="33" t="str">
        <f t="shared" si="3"/>
        <v/>
      </c>
      <c r="L9" s="33" t="str">
        <f t="shared" si="4"/>
        <v/>
      </c>
      <c r="M9" s="33" t="str">
        <f t="shared" si="5"/>
        <v/>
      </c>
      <c r="N9" s="33" t="str">
        <f t="shared" si="6"/>
        <v>●</v>
      </c>
      <c r="O9" s="33" t="str">
        <f t="shared" si="7"/>
        <v/>
      </c>
      <c r="P9" s="33" t="str">
        <f t="shared" si="8"/>
        <v/>
      </c>
      <c r="Q9" s="33" t="str">
        <f t="shared" si="9"/>
        <v/>
      </c>
      <c r="R9" s="33" t="str">
        <f t="shared" si="10"/>
        <v/>
      </c>
      <c r="S9" s="33" t="str">
        <f t="shared" si="11"/>
        <v/>
      </c>
      <c r="T9" s="33" t="str">
        <f t="shared" si="12"/>
        <v/>
      </c>
      <c r="U9" s="33" t="str">
        <f t="shared" si="13"/>
        <v/>
      </c>
      <c r="V9" s="33" t="str">
        <f t="shared" si="14"/>
        <v/>
      </c>
      <c r="W9" s="33" t="str">
        <f t="shared" si="15"/>
        <v/>
      </c>
      <c r="X9" s="34" t="str">
        <f t="shared" si="16"/>
        <v/>
      </c>
      <c r="Y9" s="31" t="str">
        <f>IF($Z9&gt;=1,"Completado",IF(AND($Z9&lt;1,Config!$B$2&gt;$F9),"Atrasado",IF($Z9&gt;0,"En proceso",IF(Config!$B$2&lt;$E9,"No iniciado","En proceso"))))</f>
        <v>Completado</v>
      </c>
      <c r="Z9" s="32">
        <v>1.0</v>
      </c>
    </row>
    <row r="10">
      <c r="A10" s="19" t="s">
        <v>275</v>
      </c>
      <c r="B10" s="20" t="s">
        <v>48</v>
      </c>
      <c r="C10" s="20" t="s">
        <v>272</v>
      </c>
      <c r="D10" s="20" t="s">
        <v>276</v>
      </c>
      <c r="E10" s="20">
        <v>6.0</v>
      </c>
      <c r="F10" s="20">
        <v>6.0</v>
      </c>
      <c r="G10" s="20" t="s">
        <v>242</v>
      </c>
      <c r="H10" s="20" t="s">
        <v>277</v>
      </c>
      <c r="I10" s="33" t="str">
        <f t="shared" si="1"/>
        <v/>
      </c>
      <c r="J10" s="33" t="str">
        <f t="shared" si="2"/>
        <v/>
      </c>
      <c r="K10" s="33" t="str">
        <f t="shared" si="3"/>
        <v/>
      </c>
      <c r="L10" s="33" t="str">
        <f t="shared" si="4"/>
        <v/>
      </c>
      <c r="M10" s="33" t="str">
        <f t="shared" si="5"/>
        <v/>
      </c>
      <c r="N10" s="33" t="str">
        <f t="shared" si="6"/>
        <v>●</v>
      </c>
      <c r="O10" s="33" t="str">
        <f t="shared" si="7"/>
        <v/>
      </c>
      <c r="P10" s="33" t="str">
        <f t="shared" si="8"/>
        <v/>
      </c>
      <c r="Q10" s="33" t="str">
        <f t="shared" si="9"/>
        <v/>
      </c>
      <c r="R10" s="33" t="str">
        <f t="shared" si="10"/>
        <v/>
      </c>
      <c r="S10" s="33" t="str">
        <f t="shared" si="11"/>
        <v/>
      </c>
      <c r="T10" s="33" t="str">
        <f t="shared" si="12"/>
        <v/>
      </c>
      <c r="U10" s="33" t="str">
        <f t="shared" si="13"/>
        <v/>
      </c>
      <c r="V10" s="33" t="str">
        <f t="shared" si="14"/>
        <v/>
      </c>
      <c r="W10" s="33" t="str">
        <f t="shared" si="15"/>
        <v/>
      </c>
      <c r="X10" s="34" t="str">
        <f t="shared" si="16"/>
        <v/>
      </c>
      <c r="Y10" s="31" t="str">
        <f>IF($Z10&gt;=1,"Completado",IF(AND($Z10&lt;1,Config!$B$2&gt;$F10),"Atrasado",IF($Z10&gt;0,"En proceso",IF(Config!$B$2&lt;$E10,"No iniciado","En proceso"))))</f>
        <v>Completado</v>
      </c>
      <c r="Z10" s="32">
        <v>1.0</v>
      </c>
    </row>
    <row r="11">
      <c r="A11" s="19" t="s">
        <v>278</v>
      </c>
      <c r="B11" s="20" t="s">
        <v>48</v>
      </c>
      <c r="C11" s="20" t="s">
        <v>279</v>
      </c>
      <c r="D11" s="20" t="s">
        <v>280</v>
      </c>
      <c r="E11" s="20">
        <v>6.0</v>
      </c>
      <c r="F11" s="20">
        <v>6.0</v>
      </c>
      <c r="G11" s="20" t="s">
        <v>242</v>
      </c>
      <c r="H11" s="20" t="s">
        <v>281</v>
      </c>
      <c r="I11" s="33" t="str">
        <f t="shared" si="1"/>
        <v/>
      </c>
      <c r="J11" s="33" t="str">
        <f t="shared" si="2"/>
        <v/>
      </c>
      <c r="K11" s="33" t="str">
        <f t="shared" si="3"/>
        <v/>
      </c>
      <c r="L11" s="33" t="str">
        <f t="shared" si="4"/>
        <v/>
      </c>
      <c r="M11" s="33" t="str">
        <f t="shared" si="5"/>
        <v/>
      </c>
      <c r="N11" s="33" t="str">
        <f t="shared" si="6"/>
        <v>●</v>
      </c>
      <c r="O11" s="33" t="str">
        <f t="shared" si="7"/>
        <v/>
      </c>
      <c r="P11" s="33" t="str">
        <f t="shared" si="8"/>
        <v/>
      </c>
      <c r="Q11" s="33" t="str">
        <f t="shared" si="9"/>
        <v/>
      </c>
      <c r="R11" s="33" t="str">
        <f t="shared" si="10"/>
        <v/>
      </c>
      <c r="S11" s="33" t="str">
        <f t="shared" si="11"/>
        <v/>
      </c>
      <c r="T11" s="33" t="str">
        <f t="shared" si="12"/>
        <v/>
      </c>
      <c r="U11" s="33" t="str">
        <f t="shared" si="13"/>
        <v/>
      </c>
      <c r="V11" s="33" t="str">
        <f t="shared" si="14"/>
        <v/>
      </c>
      <c r="W11" s="33" t="str">
        <f t="shared" si="15"/>
        <v/>
      </c>
      <c r="X11" s="34" t="str">
        <f t="shared" si="16"/>
        <v/>
      </c>
      <c r="Y11" s="31" t="str">
        <f>IF($Z11&gt;=1,"Completado",IF(AND($Z11&lt;1,Config!$B$2&gt;$F11),"Atrasado",IF($Z11&gt;0,"En proceso",IF(Config!$B$2&lt;$E11,"No iniciado","En proceso"))))</f>
        <v>Completado</v>
      </c>
      <c r="Z11" s="32">
        <v>1.0</v>
      </c>
    </row>
    <row r="12">
      <c r="A12" s="19" t="s">
        <v>282</v>
      </c>
      <c r="B12" s="20" t="s">
        <v>48</v>
      </c>
      <c r="C12" s="20" t="s">
        <v>283</v>
      </c>
      <c r="D12" s="20" t="s">
        <v>284</v>
      </c>
      <c r="E12" s="20">
        <v>6.0</v>
      </c>
      <c r="F12" s="20">
        <v>7.0</v>
      </c>
      <c r="G12" s="20" t="s">
        <v>242</v>
      </c>
      <c r="H12" s="20" t="s">
        <v>285</v>
      </c>
      <c r="I12" s="33" t="str">
        <f t="shared" si="1"/>
        <v/>
      </c>
      <c r="J12" s="33" t="str">
        <f t="shared" si="2"/>
        <v/>
      </c>
      <c r="K12" s="33" t="str">
        <f t="shared" si="3"/>
        <v/>
      </c>
      <c r="L12" s="33" t="str">
        <f t="shared" si="4"/>
        <v/>
      </c>
      <c r="M12" s="33" t="str">
        <f t="shared" si="5"/>
        <v/>
      </c>
      <c r="N12" s="33" t="str">
        <f t="shared" si="6"/>
        <v>●</v>
      </c>
      <c r="O12" s="33" t="str">
        <f t="shared" si="7"/>
        <v>●</v>
      </c>
      <c r="P12" s="33" t="str">
        <f t="shared" si="8"/>
        <v/>
      </c>
      <c r="Q12" s="33" t="str">
        <f t="shared" si="9"/>
        <v/>
      </c>
      <c r="R12" s="33" t="str">
        <f t="shared" si="10"/>
        <v/>
      </c>
      <c r="S12" s="33" t="str">
        <f t="shared" si="11"/>
        <v/>
      </c>
      <c r="T12" s="33" t="str">
        <f t="shared" si="12"/>
        <v/>
      </c>
      <c r="U12" s="33" t="str">
        <f t="shared" si="13"/>
        <v/>
      </c>
      <c r="V12" s="33" t="str">
        <f t="shared" si="14"/>
        <v/>
      </c>
      <c r="W12" s="33" t="str">
        <f t="shared" si="15"/>
        <v/>
      </c>
      <c r="X12" s="34" t="str">
        <f t="shared" si="16"/>
        <v/>
      </c>
      <c r="Y12" s="31" t="str">
        <f>IF($Z12&gt;=1,"Completado",IF(AND($Z12&lt;1,Config!$B$2&gt;$F12),"Atrasado",IF($Z12&gt;0,"En proceso",IF(Config!$B$2&lt;$E12,"No iniciado","En proceso"))))</f>
        <v>Completado</v>
      </c>
      <c r="Z12" s="32">
        <v>1.0</v>
      </c>
    </row>
    <row r="13">
      <c r="A13" s="19" t="s">
        <v>286</v>
      </c>
      <c r="B13" s="20" t="s">
        <v>48</v>
      </c>
      <c r="C13" s="20" t="s">
        <v>287</v>
      </c>
      <c r="D13" s="20" t="s">
        <v>288</v>
      </c>
      <c r="E13" s="20">
        <v>6.0</v>
      </c>
      <c r="F13" s="20">
        <v>7.0</v>
      </c>
      <c r="G13" s="20" t="s">
        <v>289</v>
      </c>
      <c r="H13" s="20" t="s">
        <v>290</v>
      </c>
      <c r="I13" s="33" t="str">
        <f t="shared" si="1"/>
        <v/>
      </c>
      <c r="J13" s="33" t="str">
        <f t="shared" si="2"/>
        <v/>
      </c>
      <c r="K13" s="33" t="str">
        <f t="shared" si="3"/>
        <v/>
      </c>
      <c r="L13" s="33" t="str">
        <f t="shared" si="4"/>
        <v/>
      </c>
      <c r="M13" s="33" t="str">
        <f t="shared" si="5"/>
        <v/>
      </c>
      <c r="N13" s="33" t="str">
        <f t="shared" si="6"/>
        <v>●</v>
      </c>
      <c r="O13" s="33" t="str">
        <f t="shared" si="7"/>
        <v>●</v>
      </c>
      <c r="P13" s="33" t="str">
        <f t="shared" si="8"/>
        <v/>
      </c>
      <c r="Q13" s="33" t="str">
        <f t="shared" si="9"/>
        <v/>
      </c>
      <c r="R13" s="33" t="str">
        <f t="shared" si="10"/>
        <v/>
      </c>
      <c r="S13" s="33" t="str">
        <f t="shared" si="11"/>
        <v/>
      </c>
      <c r="T13" s="33" t="str">
        <f t="shared" si="12"/>
        <v/>
      </c>
      <c r="U13" s="33" t="str">
        <f t="shared" si="13"/>
        <v/>
      </c>
      <c r="V13" s="33" t="str">
        <f t="shared" si="14"/>
        <v/>
      </c>
      <c r="W13" s="33" t="str">
        <f t="shared" si="15"/>
        <v/>
      </c>
      <c r="X13" s="34" t="str">
        <f t="shared" si="16"/>
        <v/>
      </c>
      <c r="Y13" s="31" t="str">
        <f>IF($Z13&gt;=1,"Completado",IF(AND($Z13&lt;1,Config!$B$2&gt;$F13),"Atrasado",IF($Z13&gt;0,"En proceso",IF(Config!$B$2&lt;$E13,"No iniciado","En proceso"))))</f>
        <v>Completado</v>
      </c>
      <c r="Z13" s="32">
        <v>1.0</v>
      </c>
    </row>
    <row r="14">
      <c r="A14" s="19" t="s">
        <v>291</v>
      </c>
      <c r="B14" s="20" t="s">
        <v>48</v>
      </c>
      <c r="C14" s="20" t="s">
        <v>292</v>
      </c>
      <c r="D14" s="20" t="s">
        <v>293</v>
      </c>
      <c r="E14" s="20">
        <v>7.0</v>
      </c>
      <c r="F14" s="20">
        <v>7.0</v>
      </c>
      <c r="G14" s="20" t="s">
        <v>85</v>
      </c>
      <c r="H14" s="20" t="s">
        <v>294</v>
      </c>
      <c r="I14" s="33" t="str">
        <f t="shared" si="1"/>
        <v/>
      </c>
      <c r="J14" s="33" t="str">
        <f t="shared" si="2"/>
        <v/>
      </c>
      <c r="K14" s="33" t="str">
        <f t="shared" si="3"/>
        <v/>
      </c>
      <c r="L14" s="33" t="str">
        <f t="shared" si="4"/>
        <v/>
      </c>
      <c r="M14" s="33" t="str">
        <f t="shared" si="5"/>
        <v/>
      </c>
      <c r="N14" s="33" t="str">
        <f t="shared" si="6"/>
        <v/>
      </c>
      <c r="O14" s="33" t="str">
        <f t="shared" si="7"/>
        <v>●</v>
      </c>
      <c r="P14" s="33" t="str">
        <f t="shared" si="8"/>
        <v/>
      </c>
      <c r="Q14" s="33" t="str">
        <f t="shared" si="9"/>
        <v/>
      </c>
      <c r="R14" s="33" t="str">
        <f t="shared" si="10"/>
        <v/>
      </c>
      <c r="S14" s="33" t="str">
        <f t="shared" si="11"/>
        <v/>
      </c>
      <c r="T14" s="33" t="str">
        <f t="shared" si="12"/>
        <v/>
      </c>
      <c r="U14" s="33" t="str">
        <f t="shared" si="13"/>
        <v/>
      </c>
      <c r="V14" s="33" t="str">
        <f t="shared" si="14"/>
        <v/>
      </c>
      <c r="W14" s="33" t="str">
        <f t="shared" si="15"/>
        <v/>
      </c>
      <c r="X14" s="34" t="str">
        <f t="shared" si="16"/>
        <v/>
      </c>
      <c r="Y14" s="31" t="str">
        <f>IF($Z14&gt;=1,"Completado",IF(AND($Z14&lt;1,Config!$B$2&gt;$F14),"Atrasado",IF($Z14&gt;0,"En proceso",IF(Config!$B$2&lt;$E14,"No iniciado","En proceso"))))</f>
        <v>Completado</v>
      </c>
      <c r="Z14" s="32">
        <v>1.0</v>
      </c>
    </row>
    <row r="15">
      <c r="A15" s="19" t="s">
        <v>295</v>
      </c>
      <c r="B15" s="20" t="s">
        <v>48</v>
      </c>
      <c r="C15" s="20" t="s">
        <v>296</v>
      </c>
      <c r="D15" s="20" t="s">
        <v>297</v>
      </c>
      <c r="E15" s="20">
        <v>7.0</v>
      </c>
      <c r="F15" s="20">
        <v>7.0</v>
      </c>
      <c r="G15" s="20" t="s">
        <v>85</v>
      </c>
      <c r="H15" s="20" t="s">
        <v>298</v>
      </c>
      <c r="I15" s="33" t="str">
        <f t="shared" si="1"/>
        <v/>
      </c>
      <c r="J15" s="33" t="str">
        <f t="shared" si="2"/>
        <v/>
      </c>
      <c r="K15" s="33" t="str">
        <f t="shared" si="3"/>
        <v/>
      </c>
      <c r="L15" s="33" t="str">
        <f t="shared" si="4"/>
        <v/>
      </c>
      <c r="M15" s="33" t="str">
        <f t="shared" si="5"/>
        <v/>
      </c>
      <c r="N15" s="33" t="str">
        <f t="shared" si="6"/>
        <v/>
      </c>
      <c r="O15" s="33" t="str">
        <f t="shared" si="7"/>
        <v>●</v>
      </c>
      <c r="P15" s="33" t="str">
        <f t="shared" si="8"/>
        <v/>
      </c>
      <c r="Q15" s="33" t="str">
        <f t="shared" si="9"/>
        <v/>
      </c>
      <c r="R15" s="33" t="str">
        <f t="shared" si="10"/>
        <v/>
      </c>
      <c r="S15" s="33" t="str">
        <f t="shared" si="11"/>
        <v/>
      </c>
      <c r="T15" s="33" t="str">
        <f t="shared" si="12"/>
        <v/>
      </c>
      <c r="U15" s="33" t="str">
        <f t="shared" si="13"/>
        <v/>
      </c>
      <c r="V15" s="33" t="str">
        <f t="shared" si="14"/>
        <v/>
      </c>
      <c r="W15" s="33" t="str">
        <f t="shared" si="15"/>
        <v/>
      </c>
      <c r="X15" s="34" t="str">
        <f t="shared" si="16"/>
        <v/>
      </c>
      <c r="Y15" s="31" t="str">
        <f>IF($Z15&gt;=1,"Completado",IF(AND($Z15&lt;1,Config!$B$2&gt;$F15),"Atrasado",IF($Z15&gt;0,"En proceso",IF(Config!$B$2&lt;$E15,"No iniciado","En proceso"))))</f>
        <v>Completado</v>
      </c>
      <c r="Z15" s="32">
        <v>1.0</v>
      </c>
    </row>
    <row r="16">
      <c r="A16" s="19" t="s">
        <v>299</v>
      </c>
      <c r="B16" s="20" t="s">
        <v>95</v>
      </c>
      <c r="C16" s="20" t="s">
        <v>238</v>
      </c>
      <c r="D16" s="20" t="s">
        <v>300</v>
      </c>
      <c r="E16" s="20">
        <v>7.0</v>
      </c>
      <c r="F16" s="20">
        <v>7.0</v>
      </c>
      <c r="G16" s="20" t="s">
        <v>242</v>
      </c>
      <c r="H16" s="20" t="s">
        <v>301</v>
      </c>
      <c r="I16" s="33" t="str">
        <f t="shared" si="1"/>
        <v/>
      </c>
      <c r="J16" s="33" t="str">
        <f t="shared" si="2"/>
        <v/>
      </c>
      <c r="K16" s="33" t="str">
        <f t="shared" si="3"/>
        <v/>
      </c>
      <c r="L16" s="33" t="str">
        <f t="shared" si="4"/>
        <v/>
      </c>
      <c r="M16" s="33" t="str">
        <f t="shared" si="5"/>
        <v/>
      </c>
      <c r="N16" s="33" t="str">
        <f t="shared" si="6"/>
        <v/>
      </c>
      <c r="O16" s="33" t="str">
        <f t="shared" si="7"/>
        <v>●</v>
      </c>
      <c r="P16" s="33" t="str">
        <f t="shared" si="8"/>
        <v/>
      </c>
      <c r="Q16" s="33" t="str">
        <f t="shared" si="9"/>
        <v/>
      </c>
      <c r="R16" s="33" t="str">
        <f t="shared" si="10"/>
        <v/>
      </c>
      <c r="S16" s="33" t="str">
        <f t="shared" si="11"/>
        <v/>
      </c>
      <c r="T16" s="33" t="str">
        <f t="shared" si="12"/>
        <v/>
      </c>
      <c r="U16" s="33" t="str">
        <f t="shared" si="13"/>
        <v/>
      </c>
      <c r="V16" s="33" t="str">
        <f t="shared" si="14"/>
        <v/>
      </c>
      <c r="W16" s="33" t="str">
        <f t="shared" si="15"/>
        <v/>
      </c>
      <c r="X16" s="34" t="str">
        <f t="shared" si="16"/>
        <v/>
      </c>
      <c r="Y16" s="31" t="str">
        <f>IF($Z16&gt;=1,"Completado",IF(AND($Z16&lt;1,Config!$B$2&gt;$F16),"Atrasado",IF($Z16&gt;0,"En proceso",IF(Config!$B$2&lt;$E16,"No iniciado","En proceso"))))</f>
        <v>Completado</v>
      </c>
      <c r="Z16" s="32">
        <v>1.0</v>
      </c>
    </row>
    <row r="17">
      <c r="A17" s="19" t="s">
        <v>302</v>
      </c>
      <c r="B17" s="20" t="s">
        <v>95</v>
      </c>
      <c r="C17" s="20" t="s">
        <v>279</v>
      </c>
      <c r="D17" s="20" t="s">
        <v>303</v>
      </c>
      <c r="E17" s="20">
        <v>7.0</v>
      </c>
      <c r="F17" s="20">
        <v>8.0</v>
      </c>
      <c r="G17" s="20" t="s">
        <v>242</v>
      </c>
      <c r="H17" s="20" t="s">
        <v>304</v>
      </c>
      <c r="I17" s="33" t="str">
        <f t="shared" si="1"/>
        <v/>
      </c>
      <c r="J17" s="33" t="str">
        <f t="shared" si="2"/>
        <v/>
      </c>
      <c r="K17" s="33" t="str">
        <f t="shared" si="3"/>
        <v/>
      </c>
      <c r="L17" s="33" t="str">
        <f t="shared" si="4"/>
        <v/>
      </c>
      <c r="M17" s="33" t="str">
        <f t="shared" si="5"/>
        <v/>
      </c>
      <c r="N17" s="33" t="str">
        <f t="shared" si="6"/>
        <v/>
      </c>
      <c r="O17" s="33" t="str">
        <f t="shared" si="7"/>
        <v>●</v>
      </c>
      <c r="P17" s="33" t="str">
        <f t="shared" si="8"/>
        <v>●</v>
      </c>
      <c r="Q17" s="33" t="str">
        <f t="shared" si="9"/>
        <v/>
      </c>
      <c r="R17" s="33" t="str">
        <f t="shared" si="10"/>
        <v/>
      </c>
      <c r="S17" s="33" t="str">
        <f t="shared" si="11"/>
        <v/>
      </c>
      <c r="T17" s="33" t="str">
        <f t="shared" si="12"/>
        <v/>
      </c>
      <c r="U17" s="33" t="str">
        <f t="shared" si="13"/>
        <v/>
      </c>
      <c r="V17" s="33" t="str">
        <f t="shared" si="14"/>
        <v/>
      </c>
      <c r="W17" s="33" t="str">
        <f t="shared" si="15"/>
        <v/>
      </c>
      <c r="X17" s="34" t="str">
        <f t="shared" si="16"/>
        <v/>
      </c>
      <c r="Y17" s="31" t="str">
        <f>IF($Z17&gt;=1,"Completado",IF(AND($Z17&lt;1,Config!$B$2&gt;$F17),"Atrasado",IF($Z17&gt;0,"En proceso",IF(Config!$B$2&lt;$E17,"No iniciado","En proceso"))))</f>
        <v>Completado</v>
      </c>
      <c r="Z17" s="32">
        <v>1.0</v>
      </c>
    </row>
    <row r="18">
      <c r="A18" s="19" t="s">
        <v>305</v>
      </c>
      <c r="B18" s="20" t="s">
        <v>95</v>
      </c>
      <c r="C18" s="20" t="s">
        <v>287</v>
      </c>
      <c r="D18" s="20" t="s">
        <v>306</v>
      </c>
      <c r="E18" s="20">
        <v>7.0</v>
      </c>
      <c r="F18" s="20">
        <v>8.0</v>
      </c>
      <c r="G18" s="20" t="s">
        <v>289</v>
      </c>
      <c r="H18" s="20" t="s">
        <v>307</v>
      </c>
      <c r="I18" s="33" t="str">
        <f t="shared" si="1"/>
        <v/>
      </c>
      <c r="J18" s="33" t="str">
        <f t="shared" si="2"/>
        <v/>
      </c>
      <c r="K18" s="33" t="str">
        <f t="shared" si="3"/>
        <v/>
      </c>
      <c r="L18" s="33" t="str">
        <f t="shared" si="4"/>
        <v/>
      </c>
      <c r="M18" s="33" t="str">
        <f t="shared" si="5"/>
        <v/>
      </c>
      <c r="N18" s="33" t="str">
        <f t="shared" si="6"/>
        <v/>
      </c>
      <c r="O18" s="33" t="str">
        <f t="shared" si="7"/>
        <v>●</v>
      </c>
      <c r="P18" s="33" t="str">
        <f t="shared" si="8"/>
        <v>●</v>
      </c>
      <c r="Q18" s="33" t="str">
        <f t="shared" si="9"/>
        <v/>
      </c>
      <c r="R18" s="33" t="str">
        <f t="shared" si="10"/>
        <v/>
      </c>
      <c r="S18" s="33" t="str">
        <f t="shared" si="11"/>
        <v/>
      </c>
      <c r="T18" s="33" t="str">
        <f t="shared" si="12"/>
        <v/>
      </c>
      <c r="U18" s="33" t="str">
        <f t="shared" si="13"/>
        <v/>
      </c>
      <c r="V18" s="33" t="str">
        <f t="shared" si="14"/>
        <v/>
      </c>
      <c r="W18" s="33" t="str">
        <f t="shared" si="15"/>
        <v/>
      </c>
      <c r="X18" s="34" t="str">
        <f t="shared" si="16"/>
        <v/>
      </c>
      <c r="Y18" s="31" t="str">
        <f>IF($Z18&gt;=1,"Completado",IF(AND($Z18&lt;1,Config!$B$2&gt;$F18),"Atrasado",IF($Z18&gt;0,"En proceso",IF(Config!$B$2&lt;$E18,"No iniciado","En proceso"))))</f>
        <v>Completado</v>
      </c>
      <c r="Z18" s="32">
        <v>1.0</v>
      </c>
    </row>
    <row r="19">
      <c r="A19" s="19" t="s">
        <v>308</v>
      </c>
      <c r="B19" s="20" t="s">
        <v>95</v>
      </c>
      <c r="C19" s="20" t="s">
        <v>309</v>
      </c>
      <c r="D19" s="20" t="s">
        <v>310</v>
      </c>
      <c r="E19" s="20">
        <v>8.0</v>
      </c>
      <c r="F19" s="20">
        <v>8.0</v>
      </c>
      <c r="G19" s="20" t="s">
        <v>103</v>
      </c>
      <c r="H19" s="20" t="s">
        <v>311</v>
      </c>
      <c r="I19" s="33" t="str">
        <f t="shared" si="1"/>
        <v/>
      </c>
      <c r="J19" s="33" t="str">
        <f t="shared" si="2"/>
        <v/>
      </c>
      <c r="K19" s="33" t="str">
        <f t="shared" si="3"/>
        <v/>
      </c>
      <c r="L19" s="33" t="str">
        <f t="shared" si="4"/>
        <v/>
      </c>
      <c r="M19" s="33" t="str">
        <f t="shared" si="5"/>
        <v/>
      </c>
      <c r="N19" s="33" t="str">
        <f t="shared" si="6"/>
        <v/>
      </c>
      <c r="O19" s="33" t="str">
        <f t="shared" si="7"/>
        <v/>
      </c>
      <c r="P19" s="33" t="str">
        <f t="shared" si="8"/>
        <v>●</v>
      </c>
      <c r="Q19" s="33" t="str">
        <f t="shared" si="9"/>
        <v/>
      </c>
      <c r="R19" s="33" t="str">
        <f t="shared" si="10"/>
        <v/>
      </c>
      <c r="S19" s="33" t="str">
        <f t="shared" si="11"/>
        <v/>
      </c>
      <c r="T19" s="33" t="str">
        <f t="shared" si="12"/>
        <v/>
      </c>
      <c r="U19" s="33" t="str">
        <f t="shared" si="13"/>
        <v/>
      </c>
      <c r="V19" s="33" t="str">
        <f t="shared" si="14"/>
        <v/>
      </c>
      <c r="W19" s="33" t="str">
        <f t="shared" si="15"/>
        <v/>
      </c>
      <c r="X19" s="34" t="str">
        <f t="shared" si="16"/>
        <v/>
      </c>
      <c r="Y19" s="31" t="str">
        <f>IF($Z19&gt;=1,"Completado",IF(AND($Z19&lt;1,Config!$B$2&gt;$F19),"Atrasado",IF($Z19&gt;0,"En proceso",IF(Config!$B$2&lt;$E19,"No iniciado","En proceso"))))</f>
        <v>Completado</v>
      </c>
      <c r="Z19" s="32">
        <v>1.0</v>
      </c>
    </row>
    <row r="20">
      <c r="A20" s="19" t="s">
        <v>312</v>
      </c>
      <c r="B20" s="20" t="s">
        <v>95</v>
      </c>
      <c r="C20" s="20" t="s">
        <v>313</v>
      </c>
      <c r="D20" s="20" t="s">
        <v>314</v>
      </c>
      <c r="E20" s="20">
        <v>8.0</v>
      </c>
      <c r="F20" s="20">
        <v>8.0</v>
      </c>
      <c r="G20" s="20" t="s">
        <v>289</v>
      </c>
      <c r="H20" s="20" t="s">
        <v>315</v>
      </c>
      <c r="I20" s="33" t="str">
        <f t="shared" si="1"/>
        <v/>
      </c>
      <c r="J20" s="33" t="str">
        <f t="shared" si="2"/>
        <v/>
      </c>
      <c r="K20" s="33" t="str">
        <f t="shared" si="3"/>
        <v/>
      </c>
      <c r="L20" s="33" t="str">
        <f t="shared" si="4"/>
        <v/>
      </c>
      <c r="M20" s="33" t="str">
        <f t="shared" si="5"/>
        <v/>
      </c>
      <c r="N20" s="33" t="str">
        <f t="shared" si="6"/>
        <v/>
      </c>
      <c r="O20" s="33" t="str">
        <f t="shared" si="7"/>
        <v/>
      </c>
      <c r="P20" s="33" t="str">
        <f t="shared" si="8"/>
        <v>●</v>
      </c>
      <c r="Q20" s="33" t="str">
        <f t="shared" si="9"/>
        <v/>
      </c>
      <c r="R20" s="33" t="str">
        <f t="shared" si="10"/>
        <v/>
      </c>
      <c r="S20" s="33" t="str">
        <f t="shared" si="11"/>
        <v/>
      </c>
      <c r="T20" s="33" t="str">
        <f t="shared" si="12"/>
        <v/>
      </c>
      <c r="U20" s="33" t="str">
        <f t="shared" si="13"/>
        <v/>
      </c>
      <c r="V20" s="33" t="str">
        <f t="shared" si="14"/>
        <v/>
      </c>
      <c r="W20" s="33" t="str">
        <f t="shared" si="15"/>
        <v/>
      </c>
      <c r="X20" s="34" t="str">
        <f t="shared" si="16"/>
        <v/>
      </c>
      <c r="Y20" s="31" t="str">
        <f>IF($Z20&gt;=1,"Completado",IF(AND($Z20&lt;1,Config!$B$2&gt;$F20),"Atrasado",IF($Z20&gt;0,"En proceso",IF(Config!$B$2&lt;$E20,"No iniciado","En proceso"))))</f>
        <v>Completado</v>
      </c>
      <c r="Z20" s="32">
        <v>1.0</v>
      </c>
    </row>
    <row r="21">
      <c r="A21" s="19" t="s">
        <v>316</v>
      </c>
      <c r="B21" s="20" t="s">
        <v>119</v>
      </c>
      <c r="C21" s="20" t="s">
        <v>317</v>
      </c>
      <c r="D21" s="20" t="s">
        <v>318</v>
      </c>
      <c r="E21" s="20">
        <v>8.0</v>
      </c>
      <c r="F21" s="20">
        <v>9.0</v>
      </c>
      <c r="G21" s="20" t="s">
        <v>289</v>
      </c>
      <c r="H21" s="20" t="s">
        <v>319</v>
      </c>
      <c r="I21" s="33" t="str">
        <f t="shared" si="1"/>
        <v/>
      </c>
      <c r="J21" s="33" t="str">
        <f t="shared" si="2"/>
        <v/>
      </c>
      <c r="K21" s="33" t="str">
        <f t="shared" si="3"/>
        <v/>
      </c>
      <c r="L21" s="33" t="str">
        <f t="shared" si="4"/>
        <v/>
      </c>
      <c r="M21" s="33" t="str">
        <f t="shared" si="5"/>
        <v/>
      </c>
      <c r="N21" s="33" t="str">
        <f t="shared" si="6"/>
        <v/>
      </c>
      <c r="O21" s="33" t="str">
        <f t="shared" si="7"/>
        <v/>
      </c>
      <c r="P21" s="33" t="str">
        <f t="shared" si="8"/>
        <v>●</v>
      </c>
      <c r="Q21" s="33" t="str">
        <f t="shared" si="9"/>
        <v>●</v>
      </c>
      <c r="R21" s="33" t="str">
        <f t="shared" si="10"/>
        <v/>
      </c>
      <c r="S21" s="33" t="str">
        <f t="shared" si="11"/>
        <v/>
      </c>
      <c r="T21" s="33" t="str">
        <f t="shared" si="12"/>
        <v/>
      </c>
      <c r="U21" s="33" t="str">
        <f t="shared" si="13"/>
        <v/>
      </c>
      <c r="V21" s="33" t="str">
        <f t="shared" si="14"/>
        <v/>
      </c>
      <c r="W21" s="33" t="str">
        <f t="shared" si="15"/>
        <v/>
      </c>
      <c r="X21" s="34" t="str">
        <f t="shared" si="16"/>
        <v/>
      </c>
      <c r="Y21" s="31" t="str">
        <f>IF($Z21&gt;=1,"Completado",IF(AND($Z21&lt;1,Config!$B$2&gt;$F21),"Atrasado",IF($Z21&gt;0,"En proceso",IF(Config!$B$2&lt;$E21,"No iniciado","En proceso"))))</f>
        <v>Completado</v>
      </c>
      <c r="Z21" s="32">
        <v>1.0</v>
      </c>
    </row>
    <row r="22">
      <c r="A22" s="19" t="s">
        <v>320</v>
      </c>
      <c r="B22" s="20" t="s">
        <v>119</v>
      </c>
      <c r="C22" s="20" t="s">
        <v>321</v>
      </c>
      <c r="D22" s="20" t="s">
        <v>322</v>
      </c>
      <c r="E22" s="20">
        <v>8.0</v>
      </c>
      <c r="F22" s="20">
        <v>9.0</v>
      </c>
      <c r="G22" s="20" t="s">
        <v>122</v>
      </c>
      <c r="H22" s="20" t="s">
        <v>323</v>
      </c>
      <c r="I22" s="33" t="str">
        <f t="shared" si="1"/>
        <v/>
      </c>
      <c r="J22" s="33" t="str">
        <f t="shared" si="2"/>
        <v/>
      </c>
      <c r="K22" s="33" t="str">
        <f t="shared" si="3"/>
        <v/>
      </c>
      <c r="L22" s="33" t="str">
        <f t="shared" si="4"/>
        <v/>
      </c>
      <c r="M22" s="33" t="str">
        <f t="shared" si="5"/>
        <v/>
      </c>
      <c r="N22" s="33" t="str">
        <f t="shared" si="6"/>
        <v/>
      </c>
      <c r="O22" s="33" t="str">
        <f t="shared" si="7"/>
        <v/>
      </c>
      <c r="P22" s="33" t="str">
        <f t="shared" si="8"/>
        <v>●</v>
      </c>
      <c r="Q22" s="33" t="str">
        <f t="shared" si="9"/>
        <v>●</v>
      </c>
      <c r="R22" s="33" t="str">
        <f t="shared" si="10"/>
        <v/>
      </c>
      <c r="S22" s="33" t="str">
        <f t="shared" si="11"/>
        <v/>
      </c>
      <c r="T22" s="33" t="str">
        <f t="shared" si="12"/>
        <v/>
      </c>
      <c r="U22" s="33" t="str">
        <f t="shared" si="13"/>
        <v/>
      </c>
      <c r="V22" s="33" t="str">
        <f t="shared" si="14"/>
        <v/>
      </c>
      <c r="W22" s="33" t="str">
        <f t="shared" si="15"/>
        <v/>
      </c>
      <c r="X22" s="34" t="str">
        <f t="shared" si="16"/>
        <v/>
      </c>
      <c r="Y22" s="31" t="str">
        <f>IF($Z22&gt;=1,"Completado",IF(AND($Z22&lt;1,Config!$B$2&gt;$F22),"Atrasado",IF($Z22&gt;0,"En proceso",IF(Config!$B$2&lt;$E22,"No iniciado","En proceso"))))</f>
        <v>Completado</v>
      </c>
      <c r="Z22" s="32">
        <v>1.0</v>
      </c>
    </row>
    <row r="23">
      <c r="A23" s="19" t="s">
        <v>324</v>
      </c>
      <c r="B23" s="20" t="s">
        <v>119</v>
      </c>
      <c r="C23" s="20" t="s">
        <v>325</v>
      </c>
      <c r="D23" s="20" t="s">
        <v>326</v>
      </c>
      <c r="E23" s="20">
        <v>9.0</v>
      </c>
      <c r="F23" s="20">
        <v>9.0</v>
      </c>
      <c r="G23" s="20" t="s">
        <v>103</v>
      </c>
      <c r="H23" s="20" t="s">
        <v>327</v>
      </c>
      <c r="I23" s="33" t="str">
        <f t="shared" si="1"/>
        <v/>
      </c>
      <c r="J23" s="33" t="str">
        <f t="shared" si="2"/>
        <v/>
      </c>
      <c r="K23" s="33" t="str">
        <f t="shared" si="3"/>
        <v/>
      </c>
      <c r="L23" s="33" t="str">
        <f t="shared" si="4"/>
        <v/>
      </c>
      <c r="M23" s="33" t="str">
        <f t="shared" si="5"/>
        <v/>
      </c>
      <c r="N23" s="33" t="str">
        <f t="shared" si="6"/>
        <v/>
      </c>
      <c r="O23" s="33" t="str">
        <f t="shared" si="7"/>
        <v/>
      </c>
      <c r="P23" s="33" t="str">
        <f t="shared" si="8"/>
        <v/>
      </c>
      <c r="Q23" s="33" t="str">
        <f t="shared" si="9"/>
        <v>●</v>
      </c>
      <c r="R23" s="33" t="str">
        <f t="shared" si="10"/>
        <v/>
      </c>
      <c r="S23" s="33" t="str">
        <f t="shared" si="11"/>
        <v/>
      </c>
      <c r="T23" s="33" t="str">
        <f t="shared" si="12"/>
        <v/>
      </c>
      <c r="U23" s="33" t="str">
        <f t="shared" si="13"/>
        <v/>
      </c>
      <c r="V23" s="33" t="str">
        <f t="shared" si="14"/>
        <v/>
      </c>
      <c r="W23" s="33" t="str">
        <f t="shared" si="15"/>
        <v/>
      </c>
      <c r="X23" s="34" t="str">
        <f t="shared" si="16"/>
        <v/>
      </c>
      <c r="Y23" s="31" t="str">
        <f>IF($Z23&gt;=1,"Completado",IF(AND($Z23&lt;1,Config!$B$2&gt;$F23),"Atrasado",IF($Z23&gt;0,"En proceso",IF(Config!$B$2&lt;$E23,"No iniciado","En proceso"))))</f>
        <v>Completado</v>
      </c>
      <c r="Z23" s="32">
        <v>1.0</v>
      </c>
    </row>
    <row r="24">
      <c r="A24" s="19" t="s">
        <v>328</v>
      </c>
      <c r="B24" s="20" t="s">
        <v>138</v>
      </c>
      <c r="C24" s="20" t="s">
        <v>238</v>
      </c>
      <c r="D24" s="20" t="s">
        <v>329</v>
      </c>
      <c r="E24" s="20">
        <v>8.0</v>
      </c>
      <c r="F24" s="20">
        <v>9.0</v>
      </c>
      <c r="G24" s="20" t="s">
        <v>242</v>
      </c>
      <c r="H24" s="20" t="s">
        <v>330</v>
      </c>
      <c r="I24" s="33" t="str">
        <f t="shared" si="1"/>
        <v/>
      </c>
      <c r="J24" s="33" t="str">
        <f t="shared" si="2"/>
        <v/>
      </c>
      <c r="K24" s="33" t="str">
        <f t="shared" si="3"/>
        <v/>
      </c>
      <c r="L24" s="33" t="str">
        <f t="shared" si="4"/>
        <v/>
      </c>
      <c r="M24" s="33" t="str">
        <f t="shared" si="5"/>
        <v/>
      </c>
      <c r="N24" s="33" t="str">
        <f t="shared" si="6"/>
        <v/>
      </c>
      <c r="O24" s="33" t="str">
        <f t="shared" si="7"/>
        <v/>
      </c>
      <c r="P24" s="33" t="str">
        <f t="shared" si="8"/>
        <v>●</v>
      </c>
      <c r="Q24" s="33" t="str">
        <f t="shared" si="9"/>
        <v>●</v>
      </c>
      <c r="R24" s="33" t="str">
        <f t="shared" si="10"/>
        <v/>
      </c>
      <c r="S24" s="33" t="str">
        <f t="shared" si="11"/>
        <v/>
      </c>
      <c r="T24" s="33" t="str">
        <f t="shared" si="12"/>
        <v/>
      </c>
      <c r="U24" s="33" t="str">
        <f t="shared" si="13"/>
        <v/>
      </c>
      <c r="V24" s="33" t="str">
        <f t="shared" si="14"/>
        <v/>
      </c>
      <c r="W24" s="33" t="str">
        <f t="shared" si="15"/>
        <v/>
      </c>
      <c r="X24" s="34" t="str">
        <f t="shared" si="16"/>
        <v/>
      </c>
      <c r="Y24" s="31" t="str">
        <f>IF($Z24&gt;=1,"Completado",IF(AND($Z24&lt;1,Config!$B$2&gt;$F24),"Atrasado",IF($Z24&gt;0,"En proceso",IF(Config!$B$2&lt;$E24,"No iniciado","En proceso"))))</f>
        <v>Completado</v>
      </c>
      <c r="Z24" s="32">
        <v>1.0</v>
      </c>
    </row>
    <row r="25">
      <c r="A25" s="19" t="s">
        <v>331</v>
      </c>
      <c r="B25" s="20" t="s">
        <v>138</v>
      </c>
      <c r="C25" s="20" t="s">
        <v>332</v>
      </c>
      <c r="D25" s="20" t="s">
        <v>333</v>
      </c>
      <c r="E25" s="20">
        <v>8.0</v>
      </c>
      <c r="F25" s="20">
        <v>9.0</v>
      </c>
      <c r="G25" s="20" t="s">
        <v>103</v>
      </c>
      <c r="H25" s="20" t="s">
        <v>334</v>
      </c>
      <c r="I25" s="33" t="str">
        <f t="shared" si="1"/>
        <v/>
      </c>
      <c r="J25" s="33" t="str">
        <f t="shared" si="2"/>
        <v/>
      </c>
      <c r="K25" s="33" t="str">
        <f t="shared" si="3"/>
        <v/>
      </c>
      <c r="L25" s="33" t="str">
        <f t="shared" si="4"/>
        <v/>
      </c>
      <c r="M25" s="33" t="str">
        <f t="shared" si="5"/>
        <v/>
      </c>
      <c r="N25" s="33" t="str">
        <f t="shared" si="6"/>
        <v/>
      </c>
      <c r="O25" s="33" t="str">
        <f t="shared" si="7"/>
        <v/>
      </c>
      <c r="P25" s="33" t="str">
        <f t="shared" si="8"/>
        <v>●</v>
      </c>
      <c r="Q25" s="33" t="str">
        <f t="shared" si="9"/>
        <v>●</v>
      </c>
      <c r="R25" s="33" t="str">
        <f t="shared" si="10"/>
        <v/>
      </c>
      <c r="S25" s="33" t="str">
        <f t="shared" si="11"/>
        <v/>
      </c>
      <c r="T25" s="33" t="str">
        <f t="shared" si="12"/>
        <v/>
      </c>
      <c r="U25" s="33" t="str">
        <f t="shared" si="13"/>
        <v/>
      </c>
      <c r="V25" s="33" t="str">
        <f t="shared" si="14"/>
        <v/>
      </c>
      <c r="W25" s="33" t="str">
        <f t="shared" si="15"/>
        <v/>
      </c>
      <c r="X25" s="34" t="str">
        <f t="shared" si="16"/>
        <v/>
      </c>
      <c r="Y25" s="31" t="str">
        <f>IF($Z25&gt;=1,"Completado",IF(AND($Z25&lt;1,Config!$B$2&gt;$F25),"Atrasado",IF($Z25&gt;0,"En proceso",IF(Config!$B$2&lt;$E25,"No iniciado","En proceso"))))</f>
        <v>Completado</v>
      </c>
      <c r="Z25" s="32">
        <v>1.0</v>
      </c>
    </row>
    <row r="26">
      <c r="A26" s="19" t="s">
        <v>335</v>
      </c>
      <c r="B26" s="20" t="s">
        <v>138</v>
      </c>
      <c r="C26" s="20" t="s">
        <v>332</v>
      </c>
      <c r="D26" s="20" t="s">
        <v>336</v>
      </c>
      <c r="E26" s="20">
        <v>9.0</v>
      </c>
      <c r="F26" s="20">
        <v>10.0</v>
      </c>
      <c r="G26" s="20" t="s">
        <v>85</v>
      </c>
      <c r="H26" s="20" t="s">
        <v>337</v>
      </c>
      <c r="I26" s="33" t="str">
        <f t="shared" si="1"/>
        <v/>
      </c>
      <c r="J26" s="33" t="str">
        <f t="shared" si="2"/>
        <v/>
      </c>
      <c r="K26" s="33" t="str">
        <f t="shared" si="3"/>
        <v/>
      </c>
      <c r="L26" s="33" t="str">
        <f t="shared" si="4"/>
        <v/>
      </c>
      <c r="M26" s="33" t="str">
        <f t="shared" si="5"/>
        <v/>
      </c>
      <c r="N26" s="33" t="str">
        <f t="shared" si="6"/>
        <v/>
      </c>
      <c r="O26" s="33" t="str">
        <f t="shared" si="7"/>
        <v/>
      </c>
      <c r="P26" s="33" t="str">
        <f t="shared" si="8"/>
        <v/>
      </c>
      <c r="Q26" s="33" t="str">
        <f t="shared" si="9"/>
        <v>●</v>
      </c>
      <c r="R26" s="33" t="str">
        <f t="shared" si="10"/>
        <v>●</v>
      </c>
      <c r="S26" s="33" t="str">
        <f t="shared" si="11"/>
        <v/>
      </c>
      <c r="T26" s="33" t="str">
        <f t="shared" si="12"/>
        <v/>
      </c>
      <c r="U26" s="33" t="str">
        <f t="shared" si="13"/>
        <v/>
      </c>
      <c r="V26" s="33" t="str">
        <f t="shared" si="14"/>
        <v/>
      </c>
      <c r="W26" s="33" t="str">
        <f t="shared" si="15"/>
        <v/>
      </c>
      <c r="X26" s="34" t="str">
        <f t="shared" si="16"/>
        <v/>
      </c>
      <c r="Y26" s="31" t="str">
        <f>IF($Z26&gt;=1,"Completado",IF(AND($Z26&lt;1,Config!$B$2&gt;$F26),"Atrasado",IF($Z26&gt;0,"En proceso",IF(Config!$B$2&lt;$E26,"No iniciado","En proceso"))))</f>
        <v>Completado</v>
      </c>
      <c r="Z26" s="32">
        <v>1.0</v>
      </c>
    </row>
    <row r="27">
      <c r="A27" s="19" t="s">
        <v>338</v>
      </c>
      <c r="B27" s="20" t="s">
        <v>138</v>
      </c>
      <c r="C27" s="20" t="s">
        <v>332</v>
      </c>
      <c r="D27" s="20" t="s">
        <v>339</v>
      </c>
      <c r="E27" s="20">
        <v>9.0</v>
      </c>
      <c r="F27" s="20">
        <v>10.0</v>
      </c>
      <c r="G27" s="20" t="s">
        <v>85</v>
      </c>
      <c r="H27" s="20" t="s">
        <v>340</v>
      </c>
      <c r="I27" s="33" t="str">
        <f t="shared" si="1"/>
        <v/>
      </c>
      <c r="J27" s="33" t="str">
        <f t="shared" si="2"/>
        <v/>
      </c>
      <c r="K27" s="33" t="str">
        <f t="shared" si="3"/>
        <v/>
      </c>
      <c r="L27" s="33" t="str">
        <f t="shared" si="4"/>
        <v/>
      </c>
      <c r="M27" s="33" t="str">
        <f t="shared" si="5"/>
        <v/>
      </c>
      <c r="N27" s="33" t="str">
        <f t="shared" si="6"/>
        <v/>
      </c>
      <c r="O27" s="33" t="str">
        <f t="shared" si="7"/>
        <v/>
      </c>
      <c r="P27" s="33" t="str">
        <f t="shared" si="8"/>
        <v/>
      </c>
      <c r="Q27" s="33" t="str">
        <f t="shared" si="9"/>
        <v>●</v>
      </c>
      <c r="R27" s="33" t="str">
        <f t="shared" si="10"/>
        <v>●</v>
      </c>
      <c r="S27" s="33" t="str">
        <f t="shared" si="11"/>
        <v/>
      </c>
      <c r="T27" s="33" t="str">
        <f t="shared" si="12"/>
        <v/>
      </c>
      <c r="U27" s="33" t="str">
        <f t="shared" si="13"/>
        <v/>
      </c>
      <c r="V27" s="33" t="str">
        <f t="shared" si="14"/>
        <v/>
      </c>
      <c r="W27" s="33" t="str">
        <f t="shared" si="15"/>
        <v/>
      </c>
      <c r="X27" s="34" t="str">
        <f t="shared" si="16"/>
        <v/>
      </c>
      <c r="Y27" s="31" t="str">
        <f>IF($Z27&gt;=1,"Completado",IF(AND($Z27&lt;1,Config!$B$2&gt;$F27),"Atrasado",IF($Z27&gt;0,"En proceso",IF(Config!$B$2&lt;$E27,"No iniciado","En proceso"))))</f>
        <v>Completado</v>
      </c>
      <c r="Z27" s="32">
        <v>1.0</v>
      </c>
    </row>
    <row r="28">
      <c r="A28" s="19" t="s">
        <v>341</v>
      </c>
      <c r="B28" s="20" t="s">
        <v>138</v>
      </c>
      <c r="C28" s="20" t="s">
        <v>342</v>
      </c>
      <c r="D28" s="20" t="s">
        <v>343</v>
      </c>
      <c r="E28" s="20">
        <v>10.0</v>
      </c>
      <c r="F28" s="20">
        <v>10.0</v>
      </c>
      <c r="G28" s="20" t="s">
        <v>103</v>
      </c>
      <c r="H28" s="20" t="s">
        <v>344</v>
      </c>
      <c r="I28" s="33" t="str">
        <f t="shared" si="1"/>
        <v/>
      </c>
      <c r="J28" s="33" t="str">
        <f t="shared" si="2"/>
        <v/>
      </c>
      <c r="K28" s="33" t="str">
        <f t="shared" si="3"/>
        <v/>
      </c>
      <c r="L28" s="33" t="str">
        <f t="shared" si="4"/>
        <v/>
      </c>
      <c r="M28" s="33" t="str">
        <f t="shared" si="5"/>
        <v/>
      </c>
      <c r="N28" s="33" t="str">
        <f t="shared" si="6"/>
        <v/>
      </c>
      <c r="O28" s="33" t="str">
        <f t="shared" si="7"/>
        <v/>
      </c>
      <c r="P28" s="33" t="str">
        <f t="shared" si="8"/>
        <v/>
      </c>
      <c r="Q28" s="33" t="str">
        <f t="shared" si="9"/>
        <v/>
      </c>
      <c r="R28" s="33" t="str">
        <f t="shared" si="10"/>
        <v>●</v>
      </c>
      <c r="S28" s="33" t="str">
        <f t="shared" si="11"/>
        <v/>
      </c>
      <c r="T28" s="33" t="str">
        <f t="shared" si="12"/>
        <v/>
      </c>
      <c r="U28" s="33" t="str">
        <f t="shared" si="13"/>
        <v/>
      </c>
      <c r="V28" s="33" t="str">
        <f t="shared" si="14"/>
        <v/>
      </c>
      <c r="W28" s="33" t="str">
        <f t="shared" si="15"/>
        <v/>
      </c>
      <c r="X28" s="34" t="str">
        <f t="shared" si="16"/>
        <v/>
      </c>
      <c r="Y28" s="31" t="str">
        <f>IF($Z28&gt;=1,"Completado",IF(AND($Z28&lt;1,Config!$B$2&gt;$F28),"Atrasado",IF($Z28&gt;0,"En proceso",IF(Config!$B$2&lt;$E28,"No iniciado","En proceso"))))</f>
        <v>En proceso</v>
      </c>
      <c r="Z28" s="32">
        <v>0.4</v>
      </c>
    </row>
    <row r="29">
      <c r="A29" s="19" t="s">
        <v>345</v>
      </c>
      <c r="B29" s="20" t="s">
        <v>154</v>
      </c>
      <c r="C29" s="20" t="s">
        <v>346</v>
      </c>
      <c r="D29" s="20" t="s">
        <v>347</v>
      </c>
      <c r="E29" s="20">
        <v>9.0</v>
      </c>
      <c r="F29" s="20">
        <v>10.0</v>
      </c>
      <c r="G29" s="20" t="s">
        <v>242</v>
      </c>
      <c r="H29" s="20" t="s">
        <v>348</v>
      </c>
      <c r="I29" s="33" t="str">
        <f t="shared" si="1"/>
        <v/>
      </c>
      <c r="J29" s="33" t="str">
        <f t="shared" si="2"/>
        <v/>
      </c>
      <c r="K29" s="33" t="str">
        <f t="shared" si="3"/>
        <v/>
      </c>
      <c r="L29" s="33" t="str">
        <f t="shared" si="4"/>
        <v/>
      </c>
      <c r="M29" s="33" t="str">
        <f t="shared" si="5"/>
        <v/>
      </c>
      <c r="N29" s="33" t="str">
        <f t="shared" si="6"/>
        <v/>
      </c>
      <c r="O29" s="33" t="str">
        <f t="shared" si="7"/>
        <v/>
      </c>
      <c r="P29" s="33" t="str">
        <f t="shared" si="8"/>
        <v/>
      </c>
      <c r="Q29" s="33" t="str">
        <f t="shared" si="9"/>
        <v>●</v>
      </c>
      <c r="R29" s="33" t="str">
        <f t="shared" si="10"/>
        <v>●</v>
      </c>
      <c r="S29" s="33" t="str">
        <f t="shared" si="11"/>
        <v/>
      </c>
      <c r="T29" s="33" t="str">
        <f t="shared" si="12"/>
        <v/>
      </c>
      <c r="U29" s="33" t="str">
        <f t="shared" si="13"/>
        <v/>
      </c>
      <c r="V29" s="33" t="str">
        <f t="shared" si="14"/>
        <v/>
      </c>
      <c r="W29" s="33" t="str">
        <f t="shared" si="15"/>
        <v/>
      </c>
      <c r="X29" s="34" t="str">
        <f t="shared" si="16"/>
        <v/>
      </c>
      <c r="Y29" s="31" t="str">
        <f>IF($Z29&gt;=1,"Completado",IF(AND($Z29&lt;1,Config!$B$2&gt;$F29),"Atrasado",IF($Z29&gt;0,"En proceso",IF(Config!$B$2&lt;$E29,"No iniciado","En proceso"))))</f>
        <v>No iniciado</v>
      </c>
      <c r="Z29" s="32">
        <v>0.0</v>
      </c>
    </row>
    <row r="30">
      <c r="A30" s="19" t="s">
        <v>349</v>
      </c>
      <c r="B30" s="20" t="s">
        <v>154</v>
      </c>
      <c r="C30" s="20" t="s">
        <v>346</v>
      </c>
      <c r="D30" s="20" t="s">
        <v>350</v>
      </c>
      <c r="E30" s="20">
        <v>10.0</v>
      </c>
      <c r="F30" s="20">
        <v>10.0</v>
      </c>
      <c r="G30" s="20" t="s">
        <v>157</v>
      </c>
      <c r="H30" s="20" t="s">
        <v>351</v>
      </c>
      <c r="I30" s="33" t="str">
        <f t="shared" si="1"/>
        <v/>
      </c>
      <c r="J30" s="33" t="str">
        <f t="shared" si="2"/>
        <v/>
      </c>
      <c r="K30" s="33" t="str">
        <f t="shared" si="3"/>
        <v/>
      </c>
      <c r="L30" s="33" t="str">
        <f t="shared" si="4"/>
        <v/>
      </c>
      <c r="M30" s="33" t="str">
        <f t="shared" si="5"/>
        <v/>
      </c>
      <c r="N30" s="33" t="str">
        <f t="shared" si="6"/>
        <v/>
      </c>
      <c r="O30" s="33" t="str">
        <f t="shared" si="7"/>
        <v/>
      </c>
      <c r="P30" s="33" t="str">
        <f t="shared" si="8"/>
        <v/>
      </c>
      <c r="Q30" s="33" t="str">
        <f t="shared" si="9"/>
        <v/>
      </c>
      <c r="R30" s="33" t="str">
        <f t="shared" si="10"/>
        <v>●</v>
      </c>
      <c r="S30" s="33" t="str">
        <f t="shared" si="11"/>
        <v/>
      </c>
      <c r="T30" s="33" t="str">
        <f t="shared" si="12"/>
        <v/>
      </c>
      <c r="U30" s="33" t="str">
        <f t="shared" si="13"/>
        <v/>
      </c>
      <c r="V30" s="33" t="str">
        <f t="shared" si="14"/>
        <v/>
      </c>
      <c r="W30" s="33" t="str">
        <f t="shared" si="15"/>
        <v/>
      </c>
      <c r="X30" s="34" t="str">
        <f t="shared" si="16"/>
        <v/>
      </c>
      <c r="Y30" s="31" t="str">
        <f>IF($Z30&gt;=1,"Completado",IF(AND($Z30&lt;1,Config!$B$2&gt;$F30),"Atrasado",IF($Z30&gt;0,"En proceso",IF(Config!$B$2&lt;$E30,"No iniciado","En proceso"))))</f>
        <v>No iniciado</v>
      </c>
      <c r="Z30" s="32">
        <v>0.0</v>
      </c>
    </row>
    <row r="31">
      <c r="A31" s="19" t="s">
        <v>352</v>
      </c>
      <c r="B31" s="20" t="s">
        <v>154</v>
      </c>
      <c r="C31" s="20" t="s">
        <v>353</v>
      </c>
      <c r="D31" s="20" t="s">
        <v>354</v>
      </c>
      <c r="E31" s="20">
        <v>10.0</v>
      </c>
      <c r="F31" s="20">
        <v>11.0</v>
      </c>
      <c r="G31" s="20" t="s">
        <v>242</v>
      </c>
      <c r="H31" s="20" t="s">
        <v>355</v>
      </c>
      <c r="I31" s="33" t="str">
        <f t="shared" si="1"/>
        <v/>
      </c>
      <c r="J31" s="33" t="str">
        <f t="shared" si="2"/>
        <v/>
      </c>
      <c r="K31" s="33" t="str">
        <f t="shared" si="3"/>
        <v/>
      </c>
      <c r="L31" s="33" t="str">
        <f t="shared" si="4"/>
        <v/>
      </c>
      <c r="M31" s="33" t="str">
        <f t="shared" si="5"/>
        <v/>
      </c>
      <c r="N31" s="33" t="str">
        <f t="shared" si="6"/>
        <v/>
      </c>
      <c r="O31" s="33" t="str">
        <f t="shared" si="7"/>
        <v/>
      </c>
      <c r="P31" s="33" t="str">
        <f t="shared" si="8"/>
        <v/>
      </c>
      <c r="Q31" s="33" t="str">
        <f t="shared" si="9"/>
        <v/>
      </c>
      <c r="R31" s="33" t="str">
        <f t="shared" si="10"/>
        <v>●</v>
      </c>
      <c r="S31" s="33" t="str">
        <f t="shared" si="11"/>
        <v>●</v>
      </c>
      <c r="T31" s="33" t="str">
        <f t="shared" si="12"/>
        <v/>
      </c>
      <c r="U31" s="33" t="str">
        <f t="shared" si="13"/>
        <v/>
      </c>
      <c r="V31" s="33" t="str">
        <f t="shared" si="14"/>
        <v/>
      </c>
      <c r="W31" s="33" t="str">
        <f t="shared" si="15"/>
        <v/>
      </c>
      <c r="X31" s="34" t="str">
        <f t="shared" si="16"/>
        <v/>
      </c>
      <c r="Y31" s="31" t="str">
        <f>IF($Z31&gt;=1,"Completado",IF(AND($Z31&lt;1,Config!$B$2&gt;$F31),"Atrasado",IF($Z31&gt;0,"En proceso",IF(Config!$B$2&lt;$E31,"No iniciado","En proceso"))))</f>
        <v>En proceso</v>
      </c>
      <c r="Z31" s="32">
        <v>0.4</v>
      </c>
    </row>
    <row r="32">
      <c r="A32" s="19" t="s">
        <v>356</v>
      </c>
      <c r="B32" s="20" t="s">
        <v>154</v>
      </c>
      <c r="C32" s="20" t="s">
        <v>353</v>
      </c>
      <c r="D32" s="20" t="s">
        <v>357</v>
      </c>
      <c r="E32" s="20">
        <v>10.0</v>
      </c>
      <c r="F32" s="20">
        <v>11.0</v>
      </c>
      <c r="G32" s="20" t="s">
        <v>289</v>
      </c>
      <c r="H32" s="20" t="s">
        <v>358</v>
      </c>
      <c r="I32" s="33" t="str">
        <f t="shared" si="1"/>
        <v/>
      </c>
      <c r="J32" s="33" t="str">
        <f t="shared" si="2"/>
        <v/>
      </c>
      <c r="K32" s="33" t="str">
        <f t="shared" si="3"/>
        <v/>
      </c>
      <c r="L32" s="33" t="str">
        <f t="shared" si="4"/>
        <v/>
      </c>
      <c r="M32" s="33" t="str">
        <f t="shared" si="5"/>
        <v/>
      </c>
      <c r="N32" s="33" t="str">
        <f t="shared" si="6"/>
        <v/>
      </c>
      <c r="O32" s="33" t="str">
        <f t="shared" si="7"/>
        <v/>
      </c>
      <c r="P32" s="33" t="str">
        <f t="shared" si="8"/>
        <v/>
      </c>
      <c r="Q32" s="33" t="str">
        <f t="shared" si="9"/>
        <v/>
      </c>
      <c r="R32" s="33" t="str">
        <f t="shared" si="10"/>
        <v>●</v>
      </c>
      <c r="S32" s="33" t="str">
        <f t="shared" si="11"/>
        <v>●</v>
      </c>
      <c r="T32" s="33" t="str">
        <f t="shared" si="12"/>
        <v/>
      </c>
      <c r="U32" s="33" t="str">
        <f t="shared" si="13"/>
        <v/>
      </c>
      <c r="V32" s="33" t="str">
        <f t="shared" si="14"/>
        <v/>
      </c>
      <c r="W32" s="33" t="str">
        <f t="shared" si="15"/>
        <v/>
      </c>
      <c r="X32" s="34" t="str">
        <f t="shared" si="16"/>
        <v/>
      </c>
      <c r="Y32" s="31" t="str">
        <f>IF($Z32&gt;=1,"Completado",IF(AND($Z32&lt;1,Config!$B$2&gt;$F32),"Atrasado",IF($Z32&gt;0,"En proceso",IF(Config!$B$2&lt;$E32,"No iniciado","En proceso"))))</f>
        <v>En proceso</v>
      </c>
      <c r="Z32" s="32">
        <v>0.8</v>
      </c>
    </row>
    <row r="33">
      <c r="A33" s="19" t="s">
        <v>359</v>
      </c>
      <c r="B33" s="20" t="s">
        <v>174</v>
      </c>
      <c r="C33" s="20" t="s">
        <v>360</v>
      </c>
      <c r="D33" s="20" t="s">
        <v>361</v>
      </c>
      <c r="E33" s="20">
        <v>10.0</v>
      </c>
      <c r="F33" s="20">
        <v>10.0</v>
      </c>
      <c r="G33" s="20" t="s">
        <v>242</v>
      </c>
      <c r="H33" s="20" t="s">
        <v>362</v>
      </c>
      <c r="I33" s="33" t="str">
        <f t="shared" si="1"/>
        <v/>
      </c>
      <c r="J33" s="33" t="str">
        <f t="shared" si="2"/>
        <v/>
      </c>
      <c r="K33" s="33" t="str">
        <f t="shared" si="3"/>
        <v/>
      </c>
      <c r="L33" s="33" t="str">
        <f t="shared" si="4"/>
        <v/>
      </c>
      <c r="M33" s="33" t="str">
        <f t="shared" si="5"/>
        <v/>
      </c>
      <c r="N33" s="33" t="str">
        <f t="shared" si="6"/>
        <v/>
      </c>
      <c r="O33" s="33" t="str">
        <f t="shared" si="7"/>
        <v/>
      </c>
      <c r="P33" s="33" t="str">
        <f t="shared" si="8"/>
        <v/>
      </c>
      <c r="Q33" s="33" t="str">
        <f t="shared" si="9"/>
        <v/>
      </c>
      <c r="R33" s="33" t="str">
        <f t="shared" si="10"/>
        <v>●</v>
      </c>
      <c r="S33" s="33" t="str">
        <f t="shared" si="11"/>
        <v/>
      </c>
      <c r="T33" s="33" t="str">
        <f t="shared" si="12"/>
        <v/>
      </c>
      <c r="U33" s="33" t="str">
        <f t="shared" si="13"/>
        <v/>
      </c>
      <c r="V33" s="33" t="str">
        <f t="shared" si="14"/>
        <v/>
      </c>
      <c r="W33" s="33" t="str">
        <f t="shared" si="15"/>
        <v/>
      </c>
      <c r="X33" s="34" t="str">
        <f t="shared" si="16"/>
        <v/>
      </c>
      <c r="Y33" s="31" t="str">
        <f>IF($Z33&gt;=1,"Completado",IF(AND($Z33&lt;1,Config!$B$2&gt;$F33),"Atrasado",IF($Z33&gt;0,"En proceso",IF(Config!$B$2&lt;$E33,"No iniciado","En proceso"))))</f>
        <v>En proceso</v>
      </c>
      <c r="Z33" s="32">
        <v>0.1</v>
      </c>
    </row>
    <row r="34">
      <c r="A34" s="19" t="s">
        <v>363</v>
      </c>
      <c r="B34" s="20" t="s">
        <v>174</v>
      </c>
      <c r="C34" s="20" t="s">
        <v>360</v>
      </c>
      <c r="D34" s="20" t="s">
        <v>364</v>
      </c>
      <c r="E34" s="20">
        <v>10.0</v>
      </c>
      <c r="F34" s="20">
        <v>11.0</v>
      </c>
      <c r="G34" s="20" t="s">
        <v>242</v>
      </c>
      <c r="H34" s="20" t="s">
        <v>365</v>
      </c>
      <c r="I34" s="33" t="str">
        <f t="shared" si="1"/>
        <v/>
      </c>
      <c r="J34" s="33" t="str">
        <f t="shared" si="2"/>
        <v/>
      </c>
      <c r="K34" s="33" t="str">
        <f t="shared" si="3"/>
        <v/>
      </c>
      <c r="L34" s="33" t="str">
        <f t="shared" si="4"/>
        <v/>
      </c>
      <c r="M34" s="33" t="str">
        <f t="shared" si="5"/>
        <v/>
      </c>
      <c r="N34" s="33" t="str">
        <f t="shared" si="6"/>
        <v/>
      </c>
      <c r="O34" s="33" t="str">
        <f t="shared" si="7"/>
        <v/>
      </c>
      <c r="P34" s="33" t="str">
        <f t="shared" si="8"/>
        <v/>
      </c>
      <c r="Q34" s="33" t="str">
        <f t="shared" si="9"/>
        <v/>
      </c>
      <c r="R34" s="33" t="str">
        <f t="shared" si="10"/>
        <v>●</v>
      </c>
      <c r="S34" s="33" t="str">
        <f t="shared" si="11"/>
        <v>●</v>
      </c>
      <c r="T34" s="33" t="str">
        <f t="shared" si="12"/>
        <v/>
      </c>
      <c r="U34" s="33" t="str">
        <f t="shared" si="13"/>
        <v/>
      </c>
      <c r="V34" s="33" t="str">
        <f t="shared" si="14"/>
        <v/>
      </c>
      <c r="W34" s="33" t="str">
        <f t="shared" si="15"/>
        <v/>
      </c>
      <c r="X34" s="34" t="str">
        <f t="shared" si="16"/>
        <v/>
      </c>
      <c r="Y34" s="31" t="str">
        <f>IF($Z34&gt;=1,"Completado",IF(AND($Z34&lt;1,Config!$B$2&gt;$F34),"Atrasado",IF($Z34&gt;0,"En proceso",IF(Config!$B$2&lt;$E34,"No iniciado","En proceso"))))</f>
        <v>No iniciado</v>
      </c>
      <c r="Z34" s="32">
        <v>0.0</v>
      </c>
    </row>
    <row r="35">
      <c r="A35" s="19" t="s">
        <v>366</v>
      </c>
      <c r="B35" s="20" t="s">
        <v>174</v>
      </c>
      <c r="C35" s="20" t="s">
        <v>360</v>
      </c>
      <c r="D35" s="20" t="s">
        <v>367</v>
      </c>
      <c r="E35" s="20">
        <v>10.0</v>
      </c>
      <c r="F35" s="20">
        <v>11.0</v>
      </c>
      <c r="G35" s="20" t="s">
        <v>157</v>
      </c>
      <c r="H35" s="20" t="s">
        <v>368</v>
      </c>
      <c r="I35" s="33" t="str">
        <f t="shared" si="1"/>
        <v/>
      </c>
      <c r="J35" s="33" t="str">
        <f t="shared" si="2"/>
        <v/>
      </c>
      <c r="K35" s="33" t="str">
        <f t="shared" si="3"/>
        <v/>
      </c>
      <c r="L35" s="33" t="str">
        <f t="shared" si="4"/>
        <v/>
      </c>
      <c r="M35" s="33" t="str">
        <f t="shared" si="5"/>
        <v/>
      </c>
      <c r="N35" s="33" t="str">
        <f t="shared" si="6"/>
        <v/>
      </c>
      <c r="O35" s="33" t="str">
        <f t="shared" si="7"/>
        <v/>
      </c>
      <c r="P35" s="33" t="str">
        <f t="shared" si="8"/>
        <v/>
      </c>
      <c r="Q35" s="33" t="str">
        <f t="shared" si="9"/>
        <v/>
      </c>
      <c r="R35" s="33" t="str">
        <f t="shared" si="10"/>
        <v>●</v>
      </c>
      <c r="S35" s="33" t="str">
        <f t="shared" si="11"/>
        <v>●</v>
      </c>
      <c r="T35" s="33" t="str">
        <f t="shared" si="12"/>
        <v/>
      </c>
      <c r="U35" s="33" t="str">
        <f t="shared" si="13"/>
        <v/>
      </c>
      <c r="V35" s="33" t="str">
        <f t="shared" si="14"/>
        <v/>
      </c>
      <c r="W35" s="33" t="str">
        <f t="shared" si="15"/>
        <v/>
      </c>
      <c r="X35" s="34" t="str">
        <f t="shared" si="16"/>
        <v/>
      </c>
      <c r="Y35" s="31" t="str">
        <f>IF($Z35&gt;=1,"Completado",IF(AND($Z35&lt;1,Config!$B$2&gt;$F35),"Atrasado",IF($Z35&gt;0,"En proceso",IF(Config!$B$2&lt;$E35,"No iniciado","En proceso"))))</f>
        <v>No iniciado</v>
      </c>
      <c r="Z35" s="32">
        <v>0.0</v>
      </c>
    </row>
    <row r="36">
      <c r="A36" s="19" t="s">
        <v>369</v>
      </c>
      <c r="B36" s="20" t="s">
        <v>174</v>
      </c>
      <c r="C36" s="20" t="s">
        <v>360</v>
      </c>
      <c r="D36" s="20" t="s">
        <v>370</v>
      </c>
      <c r="E36" s="20">
        <v>11.0</v>
      </c>
      <c r="F36" s="20">
        <v>12.0</v>
      </c>
      <c r="G36" s="20" t="s">
        <v>242</v>
      </c>
      <c r="H36" s="20" t="s">
        <v>371</v>
      </c>
      <c r="I36" s="33" t="str">
        <f t="shared" si="1"/>
        <v/>
      </c>
      <c r="J36" s="33" t="str">
        <f t="shared" si="2"/>
        <v/>
      </c>
      <c r="K36" s="33" t="str">
        <f t="shared" si="3"/>
        <v/>
      </c>
      <c r="L36" s="33" t="str">
        <f t="shared" si="4"/>
        <v/>
      </c>
      <c r="M36" s="33" t="str">
        <f t="shared" si="5"/>
        <v/>
      </c>
      <c r="N36" s="33" t="str">
        <f t="shared" si="6"/>
        <v/>
      </c>
      <c r="O36" s="33" t="str">
        <f t="shared" si="7"/>
        <v/>
      </c>
      <c r="P36" s="33" t="str">
        <f t="shared" si="8"/>
        <v/>
      </c>
      <c r="Q36" s="33" t="str">
        <f t="shared" si="9"/>
        <v/>
      </c>
      <c r="R36" s="33" t="str">
        <f t="shared" si="10"/>
        <v/>
      </c>
      <c r="S36" s="33" t="str">
        <f t="shared" si="11"/>
        <v>●</v>
      </c>
      <c r="T36" s="33" t="str">
        <f t="shared" si="12"/>
        <v>●</v>
      </c>
      <c r="U36" s="33" t="str">
        <f t="shared" si="13"/>
        <v/>
      </c>
      <c r="V36" s="33" t="str">
        <f t="shared" si="14"/>
        <v/>
      </c>
      <c r="W36" s="33" t="str">
        <f t="shared" si="15"/>
        <v/>
      </c>
      <c r="X36" s="34" t="str">
        <f t="shared" si="16"/>
        <v/>
      </c>
      <c r="Y36" s="31" t="str">
        <f>IF($Z36&gt;=1,"Completado",IF(AND($Z36&lt;1,Config!$B$2&gt;$F36),"Atrasado",IF($Z36&gt;0,"En proceso",IF(Config!$B$2&lt;$E36,"No iniciado","En proceso"))))</f>
        <v>No iniciado</v>
      </c>
      <c r="Z36" s="32">
        <v>0.0</v>
      </c>
    </row>
    <row r="37">
      <c r="A37" s="19" t="s">
        <v>372</v>
      </c>
      <c r="B37" s="20" t="s">
        <v>174</v>
      </c>
      <c r="C37" s="20" t="s">
        <v>360</v>
      </c>
      <c r="D37" s="20" t="s">
        <v>373</v>
      </c>
      <c r="E37" s="20">
        <v>11.0</v>
      </c>
      <c r="F37" s="20">
        <v>12.0</v>
      </c>
      <c r="G37" s="20" t="s">
        <v>103</v>
      </c>
      <c r="H37" s="20" t="s">
        <v>374</v>
      </c>
      <c r="I37" s="33" t="str">
        <f t="shared" si="1"/>
        <v/>
      </c>
      <c r="J37" s="33" t="str">
        <f t="shared" si="2"/>
        <v/>
      </c>
      <c r="K37" s="33" t="str">
        <f t="shared" si="3"/>
        <v/>
      </c>
      <c r="L37" s="33" t="str">
        <f t="shared" si="4"/>
        <v/>
      </c>
      <c r="M37" s="33" t="str">
        <f t="shared" si="5"/>
        <v/>
      </c>
      <c r="N37" s="33" t="str">
        <f t="shared" si="6"/>
        <v/>
      </c>
      <c r="O37" s="33" t="str">
        <f t="shared" si="7"/>
        <v/>
      </c>
      <c r="P37" s="33" t="str">
        <f t="shared" si="8"/>
        <v/>
      </c>
      <c r="Q37" s="33" t="str">
        <f t="shared" si="9"/>
        <v/>
      </c>
      <c r="R37" s="33" t="str">
        <f t="shared" si="10"/>
        <v/>
      </c>
      <c r="S37" s="33" t="str">
        <f t="shared" si="11"/>
        <v>●</v>
      </c>
      <c r="T37" s="33" t="str">
        <f t="shared" si="12"/>
        <v>●</v>
      </c>
      <c r="U37" s="33" t="str">
        <f t="shared" si="13"/>
        <v/>
      </c>
      <c r="V37" s="33" t="str">
        <f t="shared" si="14"/>
        <v/>
      </c>
      <c r="W37" s="33" t="str">
        <f t="shared" si="15"/>
        <v/>
      </c>
      <c r="X37" s="34" t="str">
        <f t="shared" si="16"/>
        <v/>
      </c>
      <c r="Y37" s="31" t="str">
        <f>IF($Z37&gt;=1,"Completado",IF(AND($Z37&lt;1,Config!$B$2&gt;$F37),"Atrasado",IF($Z37&gt;0,"En proceso",IF(Config!$B$2&lt;$E37,"No iniciado","En proceso"))))</f>
        <v>No iniciado</v>
      </c>
      <c r="Z37" s="32">
        <v>0.0</v>
      </c>
    </row>
    <row r="38">
      <c r="A38" s="19" t="s">
        <v>375</v>
      </c>
      <c r="B38" s="20" t="s">
        <v>174</v>
      </c>
      <c r="C38" s="20" t="s">
        <v>360</v>
      </c>
      <c r="D38" s="20" t="s">
        <v>376</v>
      </c>
      <c r="E38" s="20">
        <v>11.0</v>
      </c>
      <c r="F38" s="20">
        <v>12.0</v>
      </c>
      <c r="G38" s="20" t="s">
        <v>157</v>
      </c>
      <c r="H38" s="20" t="s">
        <v>377</v>
      </c>
      <c r="I38" s="33" t="str">
        <f t="shared" si="1"/>
        <v/>
      </c>
      <c r="J38" s="33" t="str">
        <f t="shared" si="2"/>
        <v/>
      </c>
      <c r="K38" s="33" t="str">
        <f t="shared" si="3"/>
        <v/>
      </c>
      <c r="L38" s="33" t="str">
        <f t="shared" si="4"/>
        <v/>
      </c>
      <c r="M38" s="33" t="str">
        <f t="shared" si="5"/>
        <v/>
      </c>
      <c r="N38" s="33" t="str">
        <f t="shared" si="6"/>
        <v/>
      </c>
      <c r="O38" s="33" t="str">
        <f t="shared" si="7"/>
        <v/>
      </c>
      <c r="P38" s="33" t="str">
        <f t="shared" si="8"/>
        <v/>
      </c>
      <c r="Q38" s="33" t="str">
        <f t="shared" si="9"/>
        <v/>
      </c>
      <c r="R38" s="33" t="str">
        <f t="shared" si="10"/>
        <v/>
      </c>
      <c r="S38" s="33" t="str">
        <f t="shared" si="11"/>
        <v>●</v>
      </c>
      <c r="T38" s="33" t="str">
        <f t="shared" si="12"/>
        <v>●</v>
      </c>
      <c r="U38" s="33" t="str">
        <f t="shared" si="13"/>
        <v/>
      </c>
      <c r="V38" s="33" t="str">
        <f t="shared" si="14"/>
        <v/>
      </c>
      <c r="W38" s="33" t="str">
        <f t="shared" si="15"/>
        <v/>
      </c>
      <c r="X38" s="34" t="str">
        <f t="shared" si="16"/>
        <v/>
      </c>
      <c r="Y38" s="31" t="str">
        <f>IF($Z38&gt;=1,"Completado",IF(AND($Z38&lt;1,Config!$B$2&gt;$F38),"Atrasado",IF($Z38&gt;0,"En proceso",IF(Config!$B$2&lt;$E38,"No iniciado","En proceso"))))</f>
        <v>No iniciado</v>
      </c>
      <c r="Z38" s="32">
        <v>0.0</v>
      </c>
    </row>
    <row r="39">
      <c r="A39" s="19" t="s">
        <v>378</v>
      </c>
      <c r="B39" s="20" t="s">
        <v>174</v>
      </c>
      <c r="C39" s="20" t="s">
        <v>360</v>
      </c>
      <c r="D39" s="20" t="s">
        <v>379</v>
      </c>
      <c r="E39" s="20">
        <v>12.0</v>
      </c>
      <c r="F39" s="20">
        <v>12.0</v>
      </c>
      <c r="G39" s="20" t="s">
        <v>103</v>
      </c>
      <c r="H39" s="20" t="s">
        <v>380</v>
      </c>
      <c r="I39" s="33" t="str">
        <f t="shared" si="1"/>
        <v/>
      </c>
      <c r="J39" s="33" t="str">
        <f t="shared" si="2"/>
        <v/>
      </c>
      <c r="K39" s="33" t="str">
        <f t="shared" si="3"/>
        <v/>
      </c>
      <c r="L39" s="33" t="str">
        <f t="shared" si="4"/>
        <v/>
      </c>
      <c r="M39" s="33" t="str">
        <f t="shared" si="5"/>
        <v/>
      </c>
      <c r="N39" s="33" t="str">
        <f t="shared" si="6"/>
        <v/>
      </c>
      <c r="O39" s="33" t="str">
        <f t="shared" si="7"/>
        <v/>
      </c>
      <c r="P39" s="33" t="str">
        <f t="shared" si="8"/>
        <v/>
      </c>
      <c r="Q39" s="33" t="str">
        <f t="shared" si="9"/>
        <v/>
      </c>
      <c r="R39" s="33" t="str">
        <f t="shared" si="10"/>
        <v/>
      </c>
      <c r="S39" s="33" t="str">
        <f t="shared" si="11"/>
        <v/>
      </c>
      <c r="T39" s="33" t="str">
        <f t="shared" si="12"/>
        <v>●</v>
      </c>
      <c r="U39" s="33" t="str">
        <f t="shared" si="13"/>
        <v/>
      </c>
      <c r="V39" s="33" t="str">
        <f t="shared" si="14"/>
        <v/>
      </c>
      <c r="W39" s="33" t="str">
        <f t="shared" si="15"/>
        <v/>
      </c>
      <c r="X39" s="34" t="str">
        <f t="shared" si="16"/>
        <v/>
      </c>
      <c r="Y39" s="31" t="str">
        <f>IF($Z39&gt;=1,"Completado",IF(AND($Z39&lt;1,Config!$B$2&gt;$F39),"Atrasado",IF($Z39&gt;0,"En proceso",IF(Config!$B$2&lt;$E39,"No iniciado","En proceso"))))</f>
        <v>No iniciado</v>
      </c>
      <c r="Z39" s="32">
        <v>0.0</v>
      </c>
    </row>
    <row r="40">
      <c r="A40" s="19" t="s">
        <v>381</v>
      </c>
      <c r="B40" s="20" t="s">
        <v>186</v>
      </c>
      <c r="C40" s="20" t="s">
        <v>382</v>
      </c>
      <c r="D40" s="20" t="s">
        <v>383</v>
      </c>
      <c r="E40" s="20">
        <v>11.0</v>
      </c>
      <c r="F40" s="20">
        <v>13.0</v>
      </c>
      <c r="G40" s="20" t="s">
        <v>47</v>
      </c>
      <c r="H40" s="20" t="s">
        <v>384</v>
      </c>
      <c r="I40" s="33" t="str">
        <f t="shared" si="1"/>
        <v/>
      </c>
      <c r="J40" s="33" t="str">
        <f t="shared" si="2"/>
        <v/>
      </c>
      <c r="K40" s="33" t="str">
        <f t="shared" si="3"/>
        <v/>
      </c>
      <c r="L40" s="33" t="str">
        <f t="shared" si="4"/>
        <v/>
      </c>
      <c r="M40" s="33" t="str">
        <f t="shared" si="5"/>
        <v/>
      </c>
      <c r="N40" s="33" t="str">
        <f t="shared" si="6"/>
        <v/>
      </c>
      <c r="O40" s="33" t="str">
        <f t="shared" si="7"/>
        <v/>
      </c>
      <c r="P40" s="33" t="str">
        <f t="shared" si="8"/>
        <v/>
      </c>
      <c r="Q40" s="33" t="str">
        <f t="shared" si="9"/>
        <v/>
      </c>
      <c r="R40" s="33" t="str">
        <f t="shared" si="10"/>
        <v/>
      </c>
      <c r="S40" s="33" t="str">
        <f t="shared" si="11"/>
        <v>●</v>
      </c>
      <c r="T40" s="33" t="str">
        <f t="shared" si="12"/>
        <v>●</v>
      </c>
      <c r="U40" s="33" t="str">
        <f t="shared" si="13"/>
        <v>●</v>
      </c>
      <c r="V40" s="33" t="str">
        <f t="shared" si="14"/>
        <v/>
      </c>
      <c r="W40" s="33" t="str">
        <f t="shared" si="15"/>
        <v/>
      </c>
      <c r="X40" s="34" t="str">
        <f t="shared" si="16"/>
        <v/>
      </c>
      <c r="Y40" s="31" t="str">
        <f>IF($Z40&gt;=1,"Completado",IF(AND($Z40&lt;1,Config!$B$2&gt;$F40),"Atrasado",IF($Z40&gt;0,"En proceso",IF(Config!$B$2&lt;$E40,"No iniciado","En proceso"))))</f>
        <v>No iniciado</v>
      </c>
      <c r="Z40" s="32">
        <v>0.0</v>
      </c>
    </row>
    <row r="41">
      <c r="A41" s="19" t="s">
        <v>385</v>
      </c>
      <c r="B41" s="20" t="s">
        <v>186</v>
      </c>
      <c r="C41" s="20" t="s">
        <v>386</v>
      </c>
      <c r="D41" s="20" t="s">
        <v>387</v>
      </c>
      <c r="E41" s="20">
        <v>12.0</v>
      </c>
      <c r="F41" s="20">
        <v>13.0</v>
      </c>
      <c r="G41" s="20" t="s">
        <v>157</v>
      </c>
      <c r="H41" s="20" t="s">
        <v>388</v>
      </c>
      <c r="I41" s="33" t="str">
        <f t="shared" si="1"/>
        <v/>
      </c>
      <c r="J41" s="33" t="str">
        <f t="shared" si="2"/>
        <v/>
      </c>
      <c r="K41" s="33" t="str">
        <f t="shared" si="3"/>
        <v/>
      </c>
      <c r="L41" s="33" t="str">
        <f t="shared" si="4"/>
        <v/>
      </c>
      <c r="M41" s="33" t="str">
        <f t="shared" si="5"/>
        <v/>
      </c>
      <c r="N41" s="33" t="str">
        <f t="shared" si="6"/>
        <v/>
      </c>
      <c r="O41" s="33" t="str">
        <f t="shared" si="7"/>
        <v/>
      </c>
      <c r="P41" s="33" t="str">
        <f t="shared" si="8"/>
        <v/>
      </c>
      <c r="Q41" s="33" t="str">
        <f t="shared" si="9"/>
        <v/>
      </c>
      <c r="R41" s="33" t="str">
        <f t="shared" si="10"/>
        <v/>
      </c>
      <c r="S41" s="33" t="str">
        <f t="shared" si="11"/>
        <v/>
      </c>
      <c r="T41" s="33" t="str">
        <f t="shared" si="12"/>
        <v>●</v>
      </c>
      <c r="U41" s="33" t="str">
        <f t="shared" si="13"/>
        <v>●</v>
      </c>
      <c r="V41" s="33" t="str">
        <f t="shared" si="14"/>
        <v/>
      </c>
      <c r="W41" s="33" t="str">
        <f t="shared" si="15"/>
        <v/>
      </c>
      <c r="X41" s="34" t="str">
        <f t="shared" si="16"/>
        <v/>
      </c>
      <c r="Y41" s="31" t="str">
        <f>IF($Z41&gt;=1,"Completado",IF(AND($Z41&lt;1,Config!$B$2&gt;$F41),"Atrasado",IF($Z41&gt;0,"En proceso",IF(Config!$B$2&lt;$E41,"No iniciado","En proceso"))))</f>
        <v>No iniciado</v>
      </c>
      <c r="Z41" s="32">
        <v>0.0</v>
      </c>
    </row>
    <row r="42">
      <c r="A42" s="19" t="s">
        <v>389</v>
      </c>
      <c r="B42" s="20" t="s">
        <v>186</v>
      </c>
      <c r="C42" s="20" t="s">
        <v>390</v>
      </c>
      <c r="D42" s="20" t="s">
        <v>391</v>
      </c>
      <c r="E42" s="20">
        <v>13.0</v>
      </c>
      <c r="F42" s="20">
        <v>14.0</v>
      </c>
      <c r="G42" s="20" t="s">
        <v>85</v>
      </c>
      <c r="H42" s="20" t="s">
        <v>392</v>
      </c>
      <c r="I42" s="33" t="str">
        <f t="shared" si="1"/>
        <v/>
      </c>
      <c r="J42" s="33" t="str">
        <f t="shared" si="2"/>
        <v/>
      </c>
      <c r="K42" s="33" t="str">
        <f t="shared" si="3"/>
        <v/>
      </c>
      <c r="L42" s="33" t="str">
        <f t="shared" si="4"/>
        <v/>
      </c>
      <c r="M42" s="33" t="str">
        <f t="shared" si="5"/>
        <v/>
      </c>
      <c r="N42" s="33" t="str">
        <f t="shared" si="6"/>
        <v/>
      </c>
      <c r="O42" s="33" t="str">
        <f t="shared" si="7"/>
        <v/>
      </c>
      <c r="P42" s="33" t="str">
        <f t="shared" si="8"/>
        <v/>
      </c>
      <c r="Q42" s="33" t="str">
        <f t="shared" si="9"/>
        <v/>
      </c>
      <c r="R42" s="33" t="str">
        <f t="shared" si="10"/>
        <v/>
      </c>
      <c r="S42" s="33" t="str">
        <f t="shared" si="11"/>
        <v/>
      </c>
      <c r="T42" s="33" t="str">
        <f t="shared" si="12"/>
        <v/>
      </c>
      <c r="U42" s="33" t="str">
        <f t="shared" si="13"/>
        <v>●</v>
      </c>
      <c r="V42" s="33" t="str">
        <f t="shared" si="14"/>
        <v>●</v>
      </c>
      <c r="W42" s="33" t="str">
        <f t="shared" si="15"/>
        <v/>
      </c>
      <c r="X42" s="34" t="str">
        <f t="shared" si="16"/>
        <v/>
      </c>
      <c r="Y42" s="31" t="str">
        <f>IF($Z42&gt;=1,"Completado",IF(AND($Z42&lt;1,Config!$B$2&gt;$F42),"Atrasado",IF($Z42&gt;0,"En proceso",IF(Config!$B$2&lt;$E42,"No iniciado","En proceso"))))</f>
        <v>No iniciado</v>
      </c>
      <c r="Z42" s="32">
        <v>0.0</v>
      </c>
    </row>
    <row r="43">
      <c r="A43" s="19" t="s">
        <v>393</v>
      </c>
      <c r="B43" s="20" t="s">
        <v>207</v>
      </c>
      <c r="C43" s="20" t="s">
        <v>394</v>
      </c>
      <c r="D43" s="20" t="s">
        <v>395</v>
      </c>
      <c r="E43" s="20">
        <v>12.0</v>
      </c>
      <c r="F43" s="20">
        <v>12.0</v>
      </c>
      <c r="G43" s="20" t="s">
        <v>47</v>
      </c>
      <c r="H43" s="20" t="s">
        <v>396</v>
      </c>
      <c r="I43" s="33" t="str">
        <f t="shared" si="1"/>
        <v/>
      </c>
      <c r="J43" s="33" t="str">
        <f t="shared" si="2"/>
        <v/>
      </c>
      <c r="K43" s="33" t="str">
        <f t="shared" si="3"/>
        <v/>
      </c>
      <c r="L43" s="33" t="str">
        <f t="shared" si="4"/>
        <v/>
      </c>
      <c r="M43" s="33" t="str">
        <f t="shared" si="5"/>
        <v/>
      </c>
      <c r="N43" s="33" t="str">
        <f t="shared" si="6"/>
        <v/>
      </c>
      <c r="O43" s="33" t="str">
        <f t="shared" si="7"/>
        <v/>
      </c>
      <c r="P43" s="33" t="str">
        <f t="shared" si="8"/>
        <v/>
      </c>
      <c r="Q43" s="33" t="str">
        <f t="shared" si="9"/>
        <v/>
      </c>
      <c r="R43" s="33" t="str">
        <f t="shared" si="10"/>
        <v/>
      </c>
      <c r="S43" s="33" t="str">
        <f t="shared" si="11"/>
        <v/>
      </c>
      <c r="T43" s="33" t="str">
        <f t="shared" si="12"/>
        <v>●</v>
      </c>
      <c r="U43" s="33" t="str">
        <f t="shared" si="13"/>
        <v/>
      </c>
      <c r="V43" s="33" t="str">
        <f t="shared" si="14"/>
        <v/>
      </c>
      <c r="W43" s="33" t="str">
        <f t="shared" si="15"/>
        <v/>
      </c>
      <c r="X43" s="34" t="str">
        <f t="shared" si="16"/>
        <v/>
      </c>
      <c r="Y43" s="31" t="str">
        <f>IF($Z43&gt;=1,"Completado",IF(AND($Z43&lt;1,Config!$B$2&gt;$F43),"Atrasado",IF($Z43&gt;0,"En proceso",IF(Config!$B$2&lt;$E43,"No iniciado","En proceso"))))</f>
        <v>No iniciado</v>
      </c>
      <c r="Z43" s="32">
        <v>0.0</v>
      </c>
    </row>
    <row r="44">
      <c r="A44" s="19" t="s">
        <v>397</v>
      </c>
      <c r="B44" s="20" t="s">
        <v>207</v>
      </c>
      <c r="C44" s="20" t="s">
        <v>394</v>
      </c>
      <c r="D44" s="20" t="s">
        <v>398</v>
      </c>
      <c r="E44" s="20">
        <v>12.0</v>
      </c>
      <c r="F44" s="20">
        <v>14.0</v>
      </c>
      <c r="G44" s="20" t="s">
        <v>47</v>
      </c>
      <c r="H44" s="20" t="s">
        <v>399</v>
      </c>
      <c r="I44" s="33" t="str">
        <f t="shared" si="1"/>
        <v/>
      </c>
      <c r="J44" s="33" t="str">
        <f t="shared" si="2"/>
        <v/>
      </c>
      <c r="K44" s="33" t="str">
        <f t="shared" si="3"/>
        <v/>
      </c>
      <c r="L44" s="33" t="str">
        <f t="shared" si="4"/>
        <v/>
      </c>
      <c r="M44" s="33" t="str">
        <f t="shared" si="5"/>
        <v/>
      </c>
      <c r="N44" s="33" t="str">
        <f t="shared" si="6"/>
        <v/>
      </c>
      <c r="O44" s="33" t="str">
        <f t="shared" si="7"/>
        <v/>
      </c>
      <c r="P44" s="33" t="str">
        <f t="shared" si="8"/>
        <v/>
      </c>
      <c r="Q44" s="33" t="str">
        <f t="shared" si="9"/>
        <v/>
      </c>
      <c r="R44" s="33" t="str">
        <f t="shared" si="10"/>
        <v/>
      </c>
      <c r="S44" s="33" t="str">
        <f t="shared" si="11"/>
        <v/>
      </c>
      <c r="T44" s="33" t="str">
        <f t="shared" si="12"/>
        <v>●</v>
      </c>
      <c r="U44" s="33" t="str">
        <f t="shared" si="13"/>
        <v>●</v>
      </c>
      <c r="V44" s="33" t="str">
        <f t="shared" si="14"/>
        <v>●</v>
      </c>
      <c r="W44" s="33" t="str">
        <f t="shared" si="15"/>
        <v/>
      </c>
      <c r="X44" s="34" t="str">
        <f t="shared" si="16"/>
        <v/>
      </c>
      <c r="Y44" s="31" t="str">
        <f>IF($Z44&gt;=1,"Completado",IF(AND($Z44&lt;1,Config!$B$2&gt;$F44),"Atrasado",IF($Z44&gt;0,"En proceso",IF(Config!$B$2&lt;$E44,"No iniciado","En proceso"))))</f>
        <v>No iniciado</v>
      </c>
      <c r="Z44" s="32">
        <v>0.0</v>
      </c>
    </row>
    <row r="45">
      <c r="A45" s="19" t="s">
        <v>400</v>
      </c>
      <c r="B45" s="20" t="s">
        <v>207</v>
      </c>
      <c r="C45" s="20" t="s">
        <v>394</v>
      </c>
      <c r="D45" s="20" t="s">
        <v>401</v>
      </c>
      <c r="E45" s="20">
        <v>13.0</v>
      </c>
      <c r="F45" s="20">
        <v>14.0</v>
      </c>
      <c r="G45" s="20" t="s">
        <v>157</v>
      </c>
      <c r="H45" s="20" t="s">
        <v>402</v>
      </c>
      <c r="I45" s="33" t="str">
        <f t="shared" si="1"/>
        <v/>
      </c>
      <c r="J45" s="33" t="str">
        <f t="shared" si="2"/>
        <v/>
      </c>
      <c r="K45" s="33" t="str">
        <f t="shared" si="3"/>
        <v/>
      </c>
      <c r="L45" s="33" t="str">
        <f t="shared" si="4"/>
        <v/>
      </c>
      <c r="M45" s="33" t="str">
        <f t="shared" si="5"/>
        <v/>
      </c>
      <c r="N45" s="33" t="str">
        <f t="shared" si="6"/>
        <v/>
      </c>
      <c r="O45" s="33" t="str">
        <f t="shared" si="7"/>
        <v/>
      </c>
      <c r="P45" s="33" t="str">
        <f t="shared" si="8"/>
        <v/>
      </c>
      <c r="Q45" s="33" t="str">
        <f t="shared" si="9"/>
        <v/>
      </c>
      <c r="R45" s="33" t="str">
        <f t="shared" si="10"/>
        <v/>
      </c>
      <c r="S45" s="33" t="str">
        <f t="shared" si="11"/>
        <v/>
      </c>
      <c r="T45" s="33" t="str">
        <f t="shared" si="12"/>
        <v/>
      </c>
      <c r="U45" s="33" t="str">
        <f t="shared" si="13"/>
        <v>●</v>
      </c>
      <c r="V45" s="33" t="str">
        <f t="shared" si="14"/>
        <v>●</v>
      </c>
      <c r="W45" s="33" t="str">
        <f t="shared" si="15"/>
        <v/>
      </c>
      <c r="X45" s="34" t="str">
        <f t="shared" si="16"/>
        <v/>
      </c>
      <c r="Y45" s="31" t="str">
        <f>IF($Z45&gt;=1,"Completado",IF(AND($Z45&lt;1,Config!$B$2&gt;$F45),"Atrasado",IF($Z45&gt;0,"En proceso",IF(Config!$B$2&lt;$E45,"No iniciado","En proceso"))))</f>
        <v>No iniciado</v>
      </c>
      <c r="Z45" s="32">
        <v>0.0</v>
      </c>
    </row>
    <row r="46">
      <c r="A46" s="19" t="s">
        <v>403</v>
      </c>
      <c r="B46" s="20" t="s">
        <v>207</v>
      </c>
      <c r="C46" s="20" t="s">
        <v>404</v>
      </c>
      <c r="D46" s="20" t="s">
        <v>405</v>
      </c>
      <c r="E46" s="20">
        <v>13.0</v>
      </c>
      <c r="F46" s="20">
        <v>15.0</v>
      </c>
      <c r="G46" s="20" t="s">
        <v>47</v>
      </c>
      <c r="H46" s="20" t="s">
        <v>406</v>
      </c>
      <c r="I46" s="33" t="str">
        <f t="shared" si="1"/>
        <v/>
      </c>
      <c r="J46" s="33" t="str">
        <f t="shared" si="2"/>
        <v/>
      </c>
      <c r="K46" s="33" t="str">
        <f t="shared" si="3"/>
        <v/>
      </c>
      <c r="L46" s="33" t="str">
        <f t="shared" si="4"/>
        <v/>
      </c>
      <c r="M46" s="33" t="str">
        <f t="shared" si="5"/>
        <v/>
      </c>
      <c r="N46" s="33" t="str">
        <f t="shared" si="6"/>
        <v/>
      </c>
      <c r="O46" s="33" t="str">
        <f t="shared" si="7"/>
        <v/>
      </c>
      <c r="P46" s="33" t="str">
        <f t="shared" si="8"/>
        <v/>
      </c>
      <c r="Q46" s="33" t="str">
        <f t="shared" si="9"/>
        <v/>
      </c>
      <c r="R46" s="33" t="str">
        <f t="shared" si="10"/>
        <v/>
      </c>
      <c r="S46" s="33" t="str">
        <f t="shared" si="11"/>
        <v/>
      </c>
      <c r="T46" s="33" t="str">
        <f t="shared" si="12"/>
        <v/>
      </c>
      <c r="U46" s="33" t="str">
        <f t="shared" si="13"/>
        <v>●</v>
      </c>
      <c r="V46" s="33" t="str">
        <f t="shared" si="14"/>
        <v>●</v>
      </c>
      <c r="W46" s="33" t="str">
        <f t="shared" si="15"/>
        <v>●</v>
      </c>
      <c r="X46" s="34" t="str">
        <f t="shared" si="16"/>
        <v/>
      </c>
      <c r="Y46" s="31" t="str">
        <f>IF($Z46&gt;=1,"Completado",IF(AND($Z46&lt;1,Config!$B$2&gt;$F46),"Atrasado",IF($Z46&gt;0,"En proceso",IF(Config!$B$2&lt;$E46,"No iniciado","En proceso"))))</f>
        <v>No iniciado</v>
      </c>
      <c r="Z46" s="32">
        <v>0.0</v>
      </c>
    </row>
    <row r="47">
      <c r="A47" s="19" t="s">
        <v>407</v>
      </c>
      <c r="B47" s="20" t="s">
        <v>234</v>
      </c>
      <c r="C47" s="20" t="s">
        <v>408</v>
      </c>
      <c r="D47" s="20" t="s">
        <v>409</v>
      </c>
      <c r="E47" s="20">
        <v>13.0</v>
      </c>
      <c r="F47" s="20">
        <v>15.0</v>
      </c>
      <c r="G47" s="20" t="s">
        <v>47</v>
      </c>
      <c r="H47" s="20" t="s">
        <v>410</v>
      </c>
      <c r="I47" s="33" t="str">
        <f t="shared" si="1"/>
        <v/>
      </c>
      <c r="J47" s="33" t="str">
        <f t="shared" si="2"/>
        <v/>
      </c>
      <c r="K47" s="33" t="str">
        <f t="shared" si="3"/>
        <v/>
      </c>
      <c r="L47" s="33" t="str">
        <f t="shared" si="4"/>
        <v/>
      </c>
      <c r="M47" s="33" t="str">
        <f t="shared" si="5"/>
        <v/>
      </c>
      <c r="N47" s="33" t="str">
        <f t="shared" si="6"/>
        <v/>
      </c>
      <c r="O47" s="33" t="str">
        <f t="shared" si="7"/>
        <v/>
      </c>
      <c r="P47" s="33" t="str">
        <f t="shared" si="8"/>
        <v/>
      </c>
      <c r="Q47" s="33" t="str">
        <f t="shared" si="9"/>
        <v/>
      </c>
      <c r="R47" s="33" t="str">
        <f t="shared" si="10"/>
        <v/>
      </c>
      <c r="S47" s="33" t="str">
        <f t="shared" si="11"/>
        <v/>
      </c>
      <c r="T47" s="33" t="str">
        <f t="shared" si="12"/>
        <v/>
      </c>
      <c r="U47" s="33" t="str">
        <f t="shared" si="13"/>
        <v>●</v>
      </c>
      <c r="V47" s="33" t="str">
        <f t="shared" si="14"/>
        <v>●</v>
      </c>
      <c r="W47" s="33" t="str">
        <f t="shared" si="15"/>
        <v>●</v>
      </c>
      <c r="X47" s="34" t="str">
        <f t="shared" si="16"/>
        <v/>
      </c>
      <c r="Y47" s="31" t="str">
        <f>IF($Z47&gt;=1,"Completado",IF(AND($Z47&lt;1,Config!$B$2&gt;$F47),"Atrasado",IF($Z47&gt;0,"En proceso",IF(Config!$B$2&lt;$E47,"No iniciado","En proceso"))))</f>
        <v>No iniciado</v>
      </c>
      <c r="Z47" s="32">
        <v>0.0</v>
      </c>
    </row>
    <row r="48">
      <c r="A48" s="19" t="s">
        <v>411</v>
      </c>
      <c r="B48" s="20" t="s">
        <v>234</v>
      </c>
      <c r="C48" s="20" t="s">
        <v>412</v>
      </c>
      <c r="D48" s="20" t="s">
        <v>413</v>
      </c>
      <c r="E48" s="20">
        <v>14.0</v>
      </c>
      <c r="F48" s="20">
        <v>15.0</v>
      </c>
      <c r="G48" s="20" t="s">
        <v>47</v>
      </c>
      <c r="H48" s="20" t="s">
        <v>414</v>
      </c>
      <c r="I48" s="33" t="str">
        <f t="shared" si="1"/>
        <v/>
      </c>
      <c r="J48" s="33" t="str">
        <f t="shared" si="2"/>
        <v/>
      </c>
      <c r="K48" s="33" t="str">
        <f t="shared" si="3"/>
        <v/>
      </c>
      <c r="L48" s="33" t="str">
        <f t="shared" si="4"/>
        <v/>
      </c>
      <c r="M48" s="33" t="str">
        <f t="shared" si="5"/>
        <v/>
      </c>
      <c r="N48" s="33" t="str">
        <f t="shared" si="6"/>
        <v/>
      </c>
      <c r="O48" s="33" t="str">
        <f t="shared" si="7"/>
        <v/>
      </c>
      <c r="P48" s="33" t="str">
        <f t="shared" si="8"/>
        <v/>
      </c>
      <c r="Q48" s="33" t="str">
        <f t="shared" si="9"/>
        <v/>
      </c>
      <c r="R48" s="33" t="str">
        <f t="shared" si="10"/>
        <v/>
      </c>
      <c r="S48" s="33" t="str">
        <f t="shared" si="11"/>
        <v/>
      </c>
      <c r="T48" s="33" t="str">
        <f t="shared" si="12"/>
        <v/>
      </c>
      <c r="U48" s="33" t="str">
        <f t="shared" si="13"/>
        <v/>
      </c>
      <c r="V48" s="33" t="str">
        <f t="shared" si="14"/>
        <v>●</v>
      </c>
      <c r="W48" s="33" t="str">
        <f t="shared" si="15"/>
        <v>●</v>
      </c>
      <c r="X48" s="34" t="str">
        <f t="shared" si="16"/>
        <v/>
      </c>
      <c r="Y48" s="31" t="str">
        <f>IF($Z48&gt;=1,"Completado",IF(AND($Z48&lt;1,Config!$B$2&gt;$F48),"Atrasado",IF($Z48&gt;0,"En proceso",IF(Config!$B$2&lt;$E48,"No iniciado","En proceso"))))</f>
        <v>No iniciado</v>
      </c>
      <c r="Z48" s="32">
        <v>0.0</v>
      </c>
    </row>
    <row r="49">
      <c r="A49" s="36" t="s">
        <v>415</v>
      </c>
      <c r="B49" s="37" t="s">
        <v>234</v>
      </c>
      <c r="C49" s="37" t="s">
        <v>416</v>
      </c>
      <c r="D49" s="37" t="s">
        <v>417</v>
      </c>
      <c r="E49" s="37">
        <v>16.0</v>
      </c>
      <c r="F49" s="37">
        <v>16.0</v>
      </c>
      <c r="G49" s="37" t="s">
        <v>47</v>
      </c>
      <c r="H49" s="37" t="s">
        <v>418</v>
      </c>
      <c r="I49" s="41" t="str">
        <f t="shared" si="1"/>
        <v/>
      </c>
      <c r="J49" s="41" t="str">
        <f t="shared" si="2"/>
        <v/>
      </c>
      <c r="K49" s="41" t="str">
        <f t="shared" si="3"/>
        <v/>
      </c>
      <c r="L49" s="41" t="str">
        <f t="shared" si="4"/>
        <v/>
      </c>
      <c r="M49" s="41" t="str">
        <f t="shared" si="5"/>
        <v/>
      </c>
      <c r="N49" s="41" t="str">
        <f t="shared" si="6"/>
        <v/>
      </c>
      <c r="O49" s="41" t="str">
        <f t="shared" si="7"/>
        <v/>
      </c>
      <c r="P49" s="41" t="str">
        <f t="shared" si="8"/>
        <v/>
      </c>
      <c r="Q49" s="41" t="str">
        <f t="shared" si="9"/>
        <v/>
      </c>
      <c r="R49" s="41" t="str">
        <f t="shared" si="10"/>
        <v/>
      </c>
      <c r="S49" s="41" t="str">
        <f t="shared" si="11"/>
        <v/>
      </c>
      <c r="T49" s="41" t="str">
        <f t="shared" si="12"/>
        <v/>
      </c>
      <c r="U49" s="41" t="str">
        <f t="shared" si="13"/>
        <v/>
      </c>
      <c r="V49" s="41" t="str">
        <f t="shared" si="14"/>
        <v/>
      </c>
      <c r="W49" s="41" t="str">
        <f t="shared" si="15"/>
        <v/>
      </c>
      <c r="X49" s="42" t="str">
        <f t="shared" si="16"/>
        <v>●</v>
      </c>
      <c r="Y49" s="31" t="str">
        <f>IF($Z49&gt;=1,"Completado",IF(AND($Z49&lt;1,Config!$B$2&gt;$F49),"Atrasado",IF($Z49&gt;0,"En proceso",IF(Config!$B$2&lt;$E49,"No iniciado","En proceso"))))</f>
        <v>No iniciado</v>
      </c>
      <c r="Z49" s="32">
        <v>0.0</v>
      </c>
    </row>
    <row r="51">
      <c r="A51" s="43" t="s">
        <v>419</v>
      </c>
      <c r="B51" s="44"/>
      <c r="C51" s="44"/>
    </row>
    <row r="52">
      <c r="A52" s="45" t="s">
        <v>420</v>
      </c>
      <c r="B52" s="46" t="s">
        <v>421</v>
      </c>
      <c r="C52" s="47"/>
    </row>
    <row r="53">
      <c r="A53" s="48" t="s">
        <v>420</v>
      </c>
      <c r="B53" s="46" t="s">
        <v>422</v>
      </c>
      <c r="C53" s="47"/>
    </row>
    <row r="54">
      <c r="A54" s="49" t="s">
        <v>420</v>
      </c>
      <c r="B54" s="46" t="s">
        <v>423</v>
      </c>
      <c r="C54" s="47"/>
    </row>
    <row r="55">
      <c r="A55" s="50" t="s">
        <v>420</v>
      </c>
      <c r="B55" s="46" t="s">
        <v>424</v>
      </c>
      <c r="C55" s="47"/>
    </row>
    <row r="56">
      <c r="A56" s="51" t="s">
        <v>420</v>
      </c>
      <c r="B56" s="52" t="s">
        <v>425</v>
      </c>
      <c r="C56" s="47"/>
    </row>
  </sheetData>
  <mergeCells count="1">
    <mergeCell ref="A51:C51"/>
  </mergeCells>
  <conditionalFormatting sqref="I2:X49">
    <cfRule type="expression" dxfId="2" priority="1">
      <formula>I2="●"</formula>
    </cfRule>
  </conditionalFormatting>
  <conditionalFormatting sqref="Z2 Z23">
    <cfRule type="colorScale" priority="2">
      <colorScale>
        <cfvo type="percent" val="100"/>
        <cfvo type="percent" val="50"/>
        <cfvo type="percent" val="0"/>
        <color rgb="FF57BB8A"/>
        <color rgb="FFFFD666"/>
        <color rgb="FFE67C73"/>
      </colorScale>
    </cfRule>
  </conditionalFormatting>
  <conditionalFormatting sqref="Y2:Y49">
    <cfRule type="colorScale" priority="3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0.0"/>
    <col customWidth="1" min="3" max="26" width="8.75"/>
  </cols>
  <sheetData>
    <row r="1" ht="13.5" customHeight="1">
      <c r="A1" s="1" t="s">
        <v>182</v>
      </c>
      <c r="B1" s="3" t="s">
        <v>5</v>
      </c>
    </row>
    <row r="2" ht="13.5" customHeight="1">
      <c r="A2" s="10" t="s">
        <v>27</v>
      </c>
      <c r="B2" s="35">
        <v>8.0</v>
      </c>
    </row>
    <row r="3" ht="13.5" customHeight="1">
      <c r="A3" s="10" t="s">
        <v>54</v>
      </c>
      <c r="B3" s="10" t="s">
        <v>56</v>
      </c>
    </row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